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ice Estimate" r:id="rId3" sheetId="1"/>
  </sheets>
</workbook>
</file>

<file path=xl/sharedStrings.xml><?xml version="1.0" encoding="utf-8"?>
<sst xmlns="http://schemas.openxmlformats.org/spreadsheetml/2006/main" count="527" uniqueCount="175">
  <si>
    <t>Price Estimate</t>
  </si>
  <si>
    <t>Lucas Pavanelli</t>
  </si>
  <si>
    <t>Cisco Systems, Inc.</t>
  </si>
  <si>
    <t>Avenida das Nacoes Unidas 12901,West Tower, 18th and 26th Floors</t>
  </si>
  <si>
    <t>SAO PAULO, SP-04578-000</t>
  </si>
  <si>
    <t>BRAZIL</t>
  </si>
  <si>
    <t>Ph no:+55 11 2666-9014</t>
  </si>
  <si>
    <t/>
  </si>
  <si>
    <t>Price Estimate for planning and information purposes only and is not a binding offer from Cisco.</t>
  </si>
  <si>
    <t>Estimate Price does not reflect Taxes.</t>
  </si>
  <si>
    <r>
      <rPr>
        <b val="true"/>
        <color indexed="8"/>
        <sz val="9.0"/>
        <rFont val="Calibri"/>
      </rPr>
      <t>Date:</t>
    </r>
    <r>
      <rPr>
        <color indexed="8"/>
        <sz val="9.0"/>
        <rFont val="Calibri"/>
      </rPr>
      <t xml:space="preserve"> 15-Jun-2026</t>
    </r>
  </si>
  <si>
    <t>All prices are shown in BRL</t>
  </si>
  <si>
    <t>Part Number</t>
  </si>
  <si>
    <t>Smart Account Mandatory</t>
  </si>
  <si>
    <t>Description</t>
  </si>
  <si>
    <t>Service Duration (Months)</t>
  </si>
  <si>
    <t>Estimated Lead Time (Days)</t>
  </si>
  <si>
    <t>Unit List Price</t>
  </si>
  <si>
    <t>Pricing Term</t>
  </si>
  <si>
    <t>Qty</t>
  </si>
  <si>
    <t>Unit Net Price</t>
  </si>
  <si>
    <t>Disc(%)</t>
  </si>
  <si>
    <t>Extended Net Price</t>
  </si>
  <si>
    <t>C9500-48Y4C-A</t>
  </si>
  <si>
    <t>-</t>
  </si>
  <si>
    <t>Catalyst 9500 48-port x 1/10/25G + 4-port 40/100G, Advantage</t>
  </si>
  <si>
    <t>---</t>
  </si>
  <si>
    <t>CON-L1NBD-C9504YA4</t>
  </si>
  <si>
    <t>CX LEVEL 1 8X5XNBD Catalyst 9500 48-port x 1/10/25G + 4-port</t>
  </si>
  <si>
    <t>N/A</t>
  </si>
  <si>
    <t>C9500-DNA-48Y4C-A</t>
  </si>
  <si>
    <t>Yes</t>
  </si>
  <si>
    <t>C9500 DNA Advantage, Term License</t>
  </si>
  <si>
    <t>CON-L1SWT-C9548Y4A</t>
  </si>
  <si>
    <t>CX LEVEL 1 SW SUB CX LEVEL 1 SW SUB C9</t>
  </si>
  <si>
    <t>C9500-DNA-A-3Y</t>
  </si>
  <si>
    <t>Cisco Catalyst 9500 DNA Advantage 3 Year License</t>
  </si>
  <si>
    <t>CAB-ACBZ-12A</t>
  </si>
  <si>
    <t>AC Power Cord (Brazil) 12A/125V BR-3-20 plug up to 12A</t>
  </si>
  <si>
    <t>C9K-PWR-650WAC-R</t>
  </si>
  <si>
    <t>650W AC Config 4 Power Supply front to back cooling</t>
  </si>
  <si>
    <t>C9K-F1-SSD-BLANK</t>
  </si>
  <si>
    <t>Cisco pluggable SSD storage</t>
  </si>
  <si>
    <t>C9K-T1-FANTRAY</t>
  </si>
  <si>
    <t>Catalyst 9500 Type 4 front to back cooling Fan</t>
  </si>
  <si>
    <t>C9500-NW-A</t>
  </si>
  <si>
    <t>C9500 Network Stack, Advantage</t>
  </si>
  <si>
    <t>S9500UK9-1715</t>
  </si>
  <si>
    <t>CAT9300/9400/9500/9600 UNIVERSAL</t>
  </si>
  <si>
    <t>C9500-SSD-NONE</t>
  </si>
  <si>
    <t>No SSD Card Selected</t>
  </si>
  <si>
    <t>C9500-RFID-NONE</t>
  </si>
  <si>
    <t>No RFID Selected</t>
  </si>
  <si>
    <t>NETWORK-PNP-LIC</t>
  </si>
  <si>
    <t>Network Plug-n-Play Connect for zero-touch device deployment</t>
  </si>
  <si>
    <t>C9K-PWR-650WAC-R/2</t>
  </si>
  <si>
    <t>C9300-24S-A</t>
  </si>
  <si>
    <t>Catalyst 9300  24 GE SFP Ports, modular uplink Switch</t>
  </si>
  <si>
    <t>CON-L1NBD-C930024A</t>
  </si>
  <si>
    <t>CX LEVEL 1 8X5XNBD Catalyst 9300  24 GE SFP Ports, modular u</t>
  </si>
  <si>
    <t>C9300-DNA-A-24S</t>
  </si>
  <si>
    <t>C9300 DNA Advantage, 24-port Fiber Term Licenses</t>
  </si>
  <si>
    <t>CON-L1SWT-C93A24S</t>
  </si>
  <si>
    <t>CX LEVEL 1 SW SUB C9300 DNA Advantage</t>
  </si>
  <si>
    <t>C9300-DNA-A-24S-3Y</t>
  </si>
  <si>
    <t>C9300 DNA Advantage, 24-Port Fiber, 3 Year Term License</t>
  </si>
  <si>
    <t>TE-EMBEDDED-T</t>
  </si>
  <si>
    <t>Cisco ThousandEyes Enterprise Agent IBN Embedded</t>
  </si>
  <si>
    <t>TE-EMBEDDED-T-3Y</t>
  </si>
  <si>
    <t>ThousandEyes - Enterprise Agents</t>
  </si>
  <si>
    <t>D-DNAS-EXT-S-T</t>
  </si>
  <si>
    <t>Cisco DNA Spaces Extend Term License for Catalyst Switches</t>
  </si>
  <si>
    <t>D-DNAS-EXT-S-3Y</t>
  </si>
  <si>
    <t>Cisco DNA Spaces Extend for Catalyst Switching - 3Year</t>
  </si>
  <si>
    <t>C9300-NW-A-24</t>
  </si>
  <si>
    <t>C9300 Network Advantage, 24-port license</t>
  </si>
  <si>
    <t>SC9300UK9-1718</t>
  </si>
  <si>
    <t>TE-C9K-SW</t>
  </si>
  <si>
    <t>TE agent for IOSXE on C9K</t>
  </si>
  <si>
    <t>PWR-C1-715WAC-P</t>
  </si>
  <si>
    <t>715W AC 80+ platinum Config 1 Power Supply</t>
  </si>
  <si>
    <t>CAB-ACBZ-10A</t>
  </si>
  <si>
    <t>AC Power Cord (Brazil) 10A/250V BR-3-10 plug for &lt;10A device</t>
  </si>
  <si>
    <t>C9300-SPWR-NONE</t>
  </si>
  <si>
    <t>No Stack Power Cable Selected</t>
  </si>
  <si>
    <t>C9300-SSD-NONE</t>
  </si>
  <si>
    <t>C9K-ACC-RBFT</t>
  </si>
  <si>
    <t>RUBBER FEET FOR TABLE TOP SETUP 9200 and 93xx</t>
  </si>
  <si>
    <t>C9K-ACC-SCR-4</t>
  </si>
  <si>
    <t>12-24 and 10-32 SCREWS FOR RACK INSTALLATION, QTY 4</t>
  </si>
  <si>
    <t>CAB-GUIDE-1RU</t>
  </si>
  <si>
    <t>1RU CABLE MANAGEMENT GUIDES 9200 and 9300</t>
  </si>
  <si>
    <t>PWR-C1-715WAC-P/2</t>
  </si>
  <si>
    <t>715W AC 80+ platinum Config 1 SecondaryPower Supply</t>
  </si>
  <si>
    <t>C9300-NM-8X</t>
  </si>
  <si>
    <t>Catalyst 9300 8 x 10GE Network Module</t>
  </si>
  <si>
    <t>STACK-T1-1M</t>
  </si>
  <si>
    <t>1M Type 1 Stacking Cable</t>
  </si>
  <si>
    <t>N9K-C93180YC-FX3</t>
  </si>
  <si>
    <t>Nexus 9300 48p 1/10/25G, 6p 40/100G, MACsec,SyncE</t>
  </si>
  <si>
    <t>CON-L1NBD-N9KC93X3</t>
  </si>
  <si>
    <t>CX LEVEL 1 8X5XNBD Nexus 9300 48p 1/10/25G, 6p 40/100G, MACs</t>
  </si>
  <si>
    <t>NXK-AF-PI</t>
  </si>
  <si>
    <t>Dummy PID for Airflow Selection Port-side Intake</t>
  </si>
  <si>
    <t>MODE-NXOS</t>
  </si>
  <si>
    <t>Mode selection between ACI and NXOS</t>
  </si>
  <si>
    <t>NXOS-CS-10.6.2F</t>
  </si>
  <si>
    <t>Nexus 9300, 9500, 9800 NX-OS SW 10.6.2 (64bit) Cisco Silicon</t>
  </si>
  <si>
    <t>NXK-ACC-KIT-1RU</t>
  </si>
  <si>
    <t>Nexus 3K/9K Fixed Accessory Kit,  1RU front and rear removal</t>
  </si>
  <si>
    <t>NXA-FAN-35CFM-PI</t>
  </si>
  <si>
    <t>Nexus Fan, 35CFM, port side intake airflow</t>
  </si>
  <si>
    <t>NXA-PAC-650W-PI</t>
  </si>
  <si>
    <t>Nexus NEBs AC 650W PSU -  Port Side Intake</t>
  </si>
  <si>
    <t>CAB-250V-10A-BR</t>
  </si>
  <si>
    <t>Power Cord - 250V, 10A - Brazil</t>
  </si>
  <si>
    <t>DCN-OTHER</t>
  </si>
  <si>
    <t>Select if this product will NOT be used for AI Applications</t>
  </si>
  <si>
    <t>MEM-UPG-OPT-OUT</t>
  </si>
  <si>
    <t>OPT OUT PID FOR MEM UPGRADE USE ONLY</t>
  </si>
  <si>
    <t>C1-SUBS-OPTOUT</t>
  </si>
  <si>
    <t>OPT OUT FOR "Default" DCN Subscription Selection</t>
  </si>
  <si>
    <t>NXOS-AD-XF</t>
  </si>
  <si>
    <t>NX-OS Advantage License for Nexus 9300 (10G+) Platforms</t>
  </si>
  <si>
    <t>CON-L1DS-N9SWADXF</t>
  </si>
  <si>
    <t>CX LVL 1 SW DCN PERP NX-OS Advantage Lic for Nexus 9300 10G+</t>
  </si>
  <si>
    <t>N9K-C9348GC-FX3</t>
  </si>
  <si>
    <t>Nexus 9300 with 48p 100M/1GT, 4p 10/25G &amp; 2p 40/100G QSFP28</t>
  </si>
  <si>
    <t>CON-L1NBD-N9KC9FX3</t>
  </si>
  <si>
    <t>CX LEVEL 1 8X5XNBD Nexus 9300 with 48p 100M/1GT, 4p 10/25G</t>
  </si>
  <si>
    <t>NXA-SFAN-30CFM-PI</t>
  </si>
  <si>
    <t>Nexus Fan, 30CFM, port side intake airflow /w EEPROM</t>
  </si>
  <si>
    <t>NXA-PAC-350W-PI2</t>
  </si>
  <si>
    <t>Nexus AC 350W PSU -  Port Side Intake w platinum efficiency</t>
  </si>
  <si>
    <t>CML-ENTERPRISE</t>
  </si>
  <si>
    <t>CML Enterprise Edition</t>
  </si>
  <si>
    <t>Initial Term - 12.00 Months   |   Auto Renewal Term - 12 Months   |   Billing Model - Annual Billing   |   Requested Start Date - 01-Jun-2026   |   Requested End Date - 31-May-2027</t>
  </si>
  <si>
    <t>CML-ENT-BASE</t>
  </si>
  <si>
    <t>CML Enterprise Base w/20 Nodes</t>
  </si>
  <si>
    <t>CML-ENT-NODE</t>
  </si>
  <si>
    <t>CML Enterprise Node Expansion</t>
  </si>
  <si>
    <t>SVS-LCS-SUPT-BAS</t>
  </si>
  <si>
    <t>SW Bas Supt for CML</t>
  </si>
  <si>
    <t>C9300-24S-E</t>
  </si>
  <si>
    <t>CON-L1NBD-C930024E</t>
  </si>
  <si>
    <t>C9300-DNA-E-24S</t>
  </si>
  <si>
    <t>C9300 DNA Essentials, 24-Port Fiber Term Licenses</t>
  </si>
  <si>
    <t>CON-L1SWT-C93E24S</t>
  </si>
  <si>
    <t>CX LEVEL 1 SW SUB C9300 DNA Essentials</t>
  </si>
  <si>
    <t>C9300-DNA-E-24S-3Y</t>
  </si>
  <si>
    <t>C9300 DNA Essentials, 24-Port Fiber, 3 Year Term License</t>
  </si>
  <si>
    <t>C9300-NW-E-24</t>
  </si>
  <si>
    <t>C9300 Network Essentials, 24-port license</t>
  </si>
  <si>
    <t>SC9300UK9-1713</t>
  </si>
  <si>
    <t>Cisco Catalyst 9300 XE 17.13 UNIVERSAL</t>
  </si>
  <si>
    <t>Product Total</t>
  </si>
  <si>
    <t>4440137.12</t>
  </si>
  <si>
    <t>Service Total :</t>
  </si>
  <si>
    <t>270713.16</t>
  </si>
  <si>
    <t>Subscription Total</t>
  </si>
  <si>
    <t>515217.48</t>
  </si>
  <si>
    <t>Total Price:</t>
  </si>
  <si>
    <t>5226067.76</t>
  </si>
  <si>
    <r>
      <rPr>
        <b val="true"/>
        <color indexed="8"/>
        <sz val="9.0"/>
        <rFont val="Calibri"/>
      </rPr>
      <t>Valid through:</t>
    </r>
    <r>
      <rPr>
        <color indexed="8"/>
        <sz val="9.0"/>
        <rFont val="Calibri"/>
      </rPr>
      <t xml:space="preserve">  </t>
    </r>
  </si>
  <si>
    <t xml:space="preserve">FOB Point: </t>
  </si>
  <si>
    <r>
      <rPr>
        <b val="true"/>
        <color indexed="8"/>
        <sz val="9.0"/>
        <rFont val="Calibri"/>
      </rPr>
      <t>FOB Point:</t>
    </r>
    <r>
      <rPr>
        <color indexed="8"/>
        <sz val="9.0"/>
        <rFont val="Calibri"/>
      </rPr>
      <t xml:space="preserve">         None</t>
    </r>
  </si>
  <si>
    <t>Notes</t>
  </si>
  <si>
    <t>Signed:</t>
  </si>
  <si>
    <t>Estimate ID:</t>
  </si>
  <si>
    <t>HV167134121MS</t>
  </si>
  <si>
    <t>Deal ID:</t>
  </si>
  <si>
    <t>NA</t>
  </si>
  <si>
    <t>Price List:</t>
  </si>
  <si>
    <t>Global Price List - BRAZIL (BRL)</t>
  </si>
  <si>
    <t>"This Price Estimate does not constitute an offer by CISCO to sell products, but is instead an invitation to issue a purchase order to CISCO until the valid date specified in this price estimate. Such a purchase order will be subject to Cisco&amp;#39;s standard procedures, terms and conditions for the acceptance of purchase orders. This order may be subject to indirect tax (VAT, GST, sales tax or other indirect taxes), duty and freight charges even if not noted on this estimate."</t>
  </si>
</sst>
</file>

<file path=xl/styles.xml><?xml version="1.0" encoding="utf-8"?>
<styleSheet xmlns="http://schemas.openxmlformats.org/spreadsheetml/2006/main">
  <numFmts count="2">
    <numFmt numFmtId="164" formatCode="#.0"/>
    <numFmt numFmtId="165" formatCode="mm/dd/yyyy"/>
  </numFmts>
  <fonts count="153">
    <font>
      <sz val="11.0"/>
      <color indexed="8"/>
      <name val="Calibri"/>
      <family val="2"/>
      <scheme val="minor"/>
    </font>
    <font>
      <name val="Calibri"/>
      <sz val="8.0"/>
      <b val="true"/>
      <color indexed="8"/>
    </font>
    <font>
      <name val="Helvetica"/>
      <sz val="16.0"/>
      <b val="true"/>
      <color indexed="8"/>
    </font>
    <font>
      <name val="Helvetica"/>
      <sz val="11.0"/>
      <b val="true"/>
      <color indexed="10"/>
    </font>
    <font>
      <name val="Helvetica"/>
      <sz val="9.0"/>
      <b val="true"/>
      <color indexed="8"/>
    </font>
    <font>
      <name val="Helvetica"/>
      <sz val="9.0"/>
      <b val="true"/>
      <color indexed="8"/>
    </font>
    <font>
      <name val="Helvetica"/>
      <sz val="9.0"/>
      <b val="true"/>
      <color indexed="8"/>
    </font>
    <font>
      <name val="Helvetica"/>
      <sz val="9.0"/>
      <color indexed="8"/>
    </font>
    <font>
      <name val="Helvetica"/>
      <sz val="9.0"/>
      <b val="true"/>
      <color indexed="8"/>
    </font>
    <font>
      <name val="Helvetica"/>
      <sz val="9.0"/>
      <b val="true"/>
      <color indexed="8"/>
    </font>
    <font>
      <name val="Helvetica"/>
      <sz val="9.0"/>
      <b val="true"/>
      <color indexed="8"/>
    </font>
    <font>
      <name val="Helvetica"/>
      <sz val="9.0"/>
      <color indexed="8"/>
    </font>
    <font>
      <name val="Helvetica"/>
      <sz val="9.0"/>
      <b val="true"/>
      <color indexed="8"/>
    </font>
    <font>
      <name val="Helvetica"/>
      <sz val="9.0"/>
      <color indexed="8"/>
    </font>
    <font>
      <name val="Helvetica"/>
      <sz val="9.0"/>
      <color indexed="8"/>
    </font>
    <font>
      <name val="Helvetica"/>
      <sz val="9.0"/>
      <color indexed="8"/>
    </font>
    <font>
      <name val="Helvetica"/>
      <sz val="9.0"/>
      <b val="true"/>
      <color indexed="8"/>
    </font>
    <font>
      <name val="Helvetica"/>
      <sz val="9.0"/>
      <b val="true"/>
      <color indexed="8"/>
    </font>
    <font>
      <name val="Helvetica"/>
      <sz val="10.0"/>
      <b val="true"/>
      <color indexed="9"/>
    </font>
    <font>
      <name val="Helvetica"/>
      <sz val="9.0"/>
      <b val="true"/>
      <color indexed="8"/>
    </font>
    <font>
      <name val="Helvetica"/>
      <sz val="10.0"/>
      <b val="true"/>
      <color indexed="8"/>
    </font>
    <font>
      <name val="Helvetica"/>
      <sz val="10.0"/>
      <b val="true"/>
      <color indexed="9"/>
    </font>
    <font>
      <name val="Helvetica"/>
      <sz val="7.0"/>
      <color indexed="8"/>
    </font>
    <font>
      <name val="Helvetica"/>
      <sz val="10.0"/>
      <color indexed="10"/>
    </font>
    <font>
      <name val="Helvetica"/>
      <sz val="9.0"/>
      <b val="true"/>
      <color indexed="8"/>
    </font>
    <font>
      <name val="Helvetica"/>
      <sz val="9.0"/>
      <b val="true"/>
      <color indexed="8"/>
    </font>
    <font>
      <name val="Helvetica"/>
      <sz val="9.0"/>
      <b val="true"/>
      <color indexed="8"/>
    </font>
    <font>
      <name val="Helvetica"/>
      <sz val="9.0"/>
      <color indexed="8"/>
    </font>
    <font>
      <name val="Helvetica"/>
      <sz val="9.0"/>
      <color indexed="12"/>
      <u val="single"/>
    </font>
    <font>
      <name val="Calibri"/>
      <sz val="8.0"/>
      <color indexed="8"/>
    </font>
    <font>
      <name val="Helvetica"/>
      <sz val="7.0"/>
      <color indexed="8"/>
    </font>
    <font>
      <name val="Helvetica"/>
      <sz val="9.0"/>
      <b val="true"/>
      <color indexed="8"/>
    </font>
    <font>
      <name val="Helvetica"/>
      <sz val="14.0"/>
      <b val="true"/>
      <color indexed="8"/>
      <u val="single"/>
    </font>
    <font>
      <name val="Calibri"/>
      <sz val="14.0"/>
      <b val="true"/>
      <color indexed="9"/>
    </font>
    <font>
      <name val="Helvetica"/>
      <sz val="9.0"/>
      <b val="true"/>
      <color indexed="8"/>
    </font>
    <font>
      <name val="Helvetica"/>
      <sz val="9.0"/>
      <b val="true"/>
      <color indexed="8"/>
      <i val="true"/>
    </font>
    <font>
      <name val="Helvetica"/>
      <sz val="8.0"/>
      <color indexed="8"/>
      <i val="true"/>
    </font>
    <font>
      <name val="Helvetica"/>
      <sz val="9.0"/>
      <color indexed="8"/>
    </font>
    <font>
      <name val="Helvetica"/>
      <sz val="9.0"/>
      <color indexed="8"/>
    </font>
    <font>
      <name val="Calibri"/>
      <sz val="8.0"/>
      <b val="true"/>
      <color indexed="8"/>
    </font>
    <font>
      <name val="Calibri"/>
      <sz val="8.0"/>
      <b val="true"/>
      <i val="true"/>
      <color indexed="8"/>
    </font>
    <font>
      <name val="Helvetica"/>
      <sz val="9.0"/>
      <b val="true"/>
      <color indexed="12"/>
    </font>
    <font>
      <name val="Helvetica"/>
      <sz val="9.0"/>
      <color indexed="12"/>
    </font>
    <font>
      <name val="Arial"/>
      <sz val="10.0"/>
      <color indexed="8"/>
      <b val="true"/>
    </font>
    <font>
      <name val="Arial"/>
      <sz val="10.0"/>
      <color indexed="8"/>
    </font>
    <font>
      <name val="Arial"/>
      <sz val="10.0"/>
      <color indexed="8"/>
    </font>
    <font>
      <name val="Helvetica"/>
      <sz val="9.0"/>
      <b val="true"/>
      <color indexed="8"/>
    </font>
    <font>
      <name val="Helvetica"/>
      <sz val="9.0"/>
      <b val="true"/>
      <color indexed="8"/>
      <u val="single"/>
    </font>
    <font>
      <name val="Helvetica"/>
      <sz val="9.0"/>
      <b val="true"/>
      <color indexed="8"/>
    </font>
    <font>
      <name val="Helvetica"/>
      <sz val="9.0"/>
      <b val="true"/>
      <color indexed="8"/>
    </font>
    <font>
      <name val="Helvetica"/>
      <sz val="9.0"/>
      <color indexed="8"/>
    </font>
    <font>
      <name val="Helvetica"/>
      <sz val="9.0"/>
      <b val="true"/>
      <color indexed="8"/>
    </font>
    <font>
      <name val="Helvetica"/>
      <sz val="9.0"/>
      <color indexed="8"/>
    </font>
    <font>
      <name val="Helvetica"/>
      <sz val="9.0"/>
      <b val="true"/>
      <color indexed="8"/>
    </font>
    <font>
      <name val="Helvetica"/>
      <sz val="9.0"/>
      <b val="true"/>
      <color indexed="8"/>
    </font>
    <font>
      <name val="Helvetica"/>
      <sz val="9.0"/>
      <b val="true"/>
      <color indexed="8"/>
    </font>
    <font>
      <name val="Helvetica"/>
      <sz val="9.0"/>
      <b val="true"/>
      <color indexed="8"/>
    </font>
    <font>
      <name val="Helvetica"/>
      <sz val="9.0"/>
      <color indexed="8"/>
    </font>
    <font>
      <name val="Helvetica"/>
      <sz val="9.0"/>
      <color indexed="8"/>
    </font>
    <font>
      <name val="Helvetica"/>
      <sz val="9.0"/>
      <b val="true"/>
      <color indexed="8"/>
    </font>
    <font>
      <name val="Helvetica"/>
      <sz val="9.0"/>
      <color indexed="8"/>
    </font>
    <font>
      <name val="Helvetica"/>
      <sz val="12.0"/>
      <b val="true"/>
      <color indexed="8"/>
    </font>
    <font>
      <name val="Calibri"/>
      <sz val="9.0"/>
      <b val="true"/>
      <color indexed="8"/>
    </font>
    <font>
      <name val="Calibri"/>
      <sz val="9.0"/>
      <color indexed="8"/>
    </font>
    <font>
      <name val="Calibri"/>
      <sz val="9.0"/>
      <b val="true"/>
      <color indexed="8"/>
    </font>
    <font>
      <name val="Calibri"/>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Helvetica"/>
      <sz val="9.0"/>
      <color indexed="8"/>
    </font>
    <font>
      <name val="Calibri"/>
      <sz val="9.0"/>
      <b val="true"/>
      <color indexed="8"/>
    </font>
    <font>
      <name val="Calibri"/>
      <sz val="9.0"/>
      <color indexed="8"/>
    </font>
    <font>
      <name val="Calibri"/>
      <sz val="9.0"/>
      <b val="true"/>
      <color indexed="8"/>
    </font>
    <font>
      <name val="Calibri"/>
      <sz val="9.0"/>
      <color indexed="8"/>
    </font>
  </fonts>
  <fills count="18">
    <fill>
      <patternFill patternType="none"/>
    </fill>
    <fill>
      <patternFill patternType="darkGray"/>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
      <patternFill patternType="none">
        <fgColor indexed="48"/>
      </patternFill>
    </fill>
    <fill>
      <patternFill patternType="solid">
        <fgColor indexed="48"/>
      </patternFill>
    </fill>
    <fill>
      <patternFill patternType="none">
        <fgColor indexed="54"/>
      </patternFill>
    </fill>
    <fill>
      <patternFill patternType="solid">
        <fgColor indexed="54"/>
      </patternFill>
    </fill>
    <fill>
      <patternFill patternType="none">
        <bgColor indexed="22"/>
      </patternFill>
    </fill>
    <fill>
      <patternFill patternType="solid">
        <bgColor indexed="22"/>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
      <patternFill patternType="none">
        <fgColor indexed="13"/>
      </patternFill>
    </fill>
    <fill>
      <patternFill patternType="solid">
        <fgColor indexed="13"/>
      </patternFill>
    </fill>
  </fills>
  <borders count="52">
    <border>
      <left/>
      <right/>
      <top/>
      <bottom/>
      <diagonal/>
    </border>
    <border>
      <bottom style="thin"/>
    </border>
    <border>
      <bottom style="thin">
        <color indexed="8"/>
      </bottom>
    </border>
    <border>
      <top style="medium"/>
    </border>
    <border>
      <top style="medium"/>
      <bottom>
        <color indexed="8"/>
      </bottom>
    </border>
    <border>
      <bottom style="medium"/>
    </border>
    <border>
      <bottom style="medium">
        <color indexed="8"/>
      </bottom>
    </border>
    <border>
      <right style="medium"/>
    </border>
    <border>
      <right style="medium">
        <color indexed="8"/>
      </right>
    </border>
    <border>
      <top style="thin"/>
      <bottom style="thin">
        <color indexed="8"/>
      </bottom>
    </border>
    <border>
      <top style="thin">
        <color indexed="8"/>
      </top>
      <bottom style="thin">
        <color indexed="8"/>
      </bottom>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color indexed="22"/>
      </left>
      <right style="thin"/>
      <top style="thin"/>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
      <right style="thin"/>
      <top style="thin"/>
      <bottom style="thin"/>
    </border>
    <border>
      <right style="thin"/>
      <top style="thin"/>
      <bottom style="thin">
        <color indexed="22"/>
      </bottom>
    </border>
    <border>
      <right style="thin">
        <color indexed="22"/>
      </right>
      <top style="thin"/>
      <bottom style="thin">
        <color indexed="22"/>
      </bottom>
    </border>
    <border>
      <right style="thin">
        <color indexed="22"/>
      </right>
      <top style="thin">
        <color indexed="22"/>
      </top>
      <bottom style="thin">
        <color indexed="22"/>
      </bottom>
    </border>
    <border>
      <left style="thin"/>
      <right/>
      <top/>
      <bottom/>
      <diagonal/>
    </border>
    <border>
      <left style="thin">
        <color indexed="8"/>
      </left>
      <right/>
      <top/>
      <bottom/>
      <diagonal/>
    </border>
    <border>
      <left style="thin"/>
      <top style="thin"/>
      <bottom style="thin">
        <color indexed="48"/>
      </bottom>
    </border>
    <border>
      <left style="thin">
        <color indexed="9"/>
      </left>
      <top style="thin"/>
      <bottom style="thin">
        <color indexed="48"/>
      </bottom>
    </border>
    <border>
      <left style="thin">
        <color indexed="9"/>
      </left>
      <top style="thin">
        <color indexed="48"/>
      </top>
      <bottom style="thin">
        <color indexed="48"/>
      </bottom>
    </border>
    <border>
      <left style="thin"/>
      <right style="thin"/>
      <top style="thin"/>
      <bottom style="thin">
        <color indexed="23"/>
      </bottom>
    </border>
    <border>
      <left style="thin">
        <color indexed="23"/>
      </left>
      <right style="thin"/>
      <top style="thin"/>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8"/>
      </left>
      <right style="thin"/>
      <top style="thin"/>
      <bottom style="thin">
        <color indexed="22"/>
      </bottom>
    </border>
    <border>
      <left style="thin">
        <color indexed="8"/>
      </left>
      <right style="thin">
        <color indexed="22"/>
      </right>
      <top style="thin"/>
      <bottom style="thin">
        <color indexed="22"/>
      </bottom>
    </border>
    <border>
      <left style="thin">
        <color indexed="8"/>
      </left>
      <right style="thin">
        <color indexed="22"/>
      </right>
      <top style="thin">
        <color indexed="22"/>
      </top>
      <bottom style="thin">
        <color indexed="22"/>
      </bottom>
    </border>
    <border>
      <top style="thin">
        <color indexed="8"/>
      </top>
      <bottom style="thin"/>
    </border>
    <border>
      <right style="thin"/>
      <top style="thin">
        <color indexed="8"/>
      </top>
      <bottom style="thin"/>
    </border>
    <border>
      <right style="thin"/>
      <top style="thin">
        <color indexed="8"/>
      </top>
      <bottom style="thin">
        <color indexed="8"/>
      </bottom>
    </border>
    <border>
      <right style="thin">
        <color indexed="22"/>
      </right>
      <top style="thin">
        <color indexed="8"/>
      </top>
      <bottom style="thin">
        <color indexed="8"/>
      </bottom>
    </border>
    <border>
      <right style="thin">
        <color indexed="22"/>
      </right>
      <top style="thin"/>
      <bottom style="thin"/>
    </border>
    <border>
      <top style="thin"/>
      <bottom style="thin">
        <color indexed="22"/>
      </bottom>
    </border>
    <border>
      <top style="thin">
        <color indexed="22"/>
      </top>
      <bottom style="thin">
        <color indexed="22"/>
      </bottom>
    </border>
    <border>
      <left style="thin"/>
      <top style="thin">
        <color indexed="8"/>
      </top>
      <bottom style="thin">
        <color indexed="8"/>
      </bottom>
    </border>
    <border>
      <left style="thin">
        <color indexed="22"/>
      </left>
      <top style="thin">
        <color indexed="8"/>
      </top>
      <bottom style="thin">
        <color indexed="8"/>
      </bottom>
    </border>
    <border>
      <left style="thin"/>
      <right style="thin"/>
      <top/>
      <bottom/>
      <diagonal/>
    </border>
    <border>
      <left style="thin"/>
      <right style="thin"/>
      <top style="thin"/>
      <bottom/>
      <diagonal/>
    </border>
    <border>
      <right style="thin"/>
      <bottom style="thin"/>
    </border>
    <border>
      <right style="thin"/>
      <bottom style="thin">
        <color indexed="8"/>
      </bottom>
    </border>
    <border>
      <right style="thin">
        <color indexed="22"/>
      </right>
      <bottom style="thin">
        <color indexed="8"/>
      </bottom>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79">
    <xf numFmtId="0" fontId="0" fillId="0" borderId="0" xfId="0"/>
    <xf numFmtId="0" fontId="0" fillId="0" borderId="2" xfId="0" applyBorder="true"/>
    <xf numFmtId="0" fontId="0" fillId="0" borderId="4" xfId="0" applyBorder="true"/>
    <xf numFmtId="0" fontId="0" fillId="0" borderId="6" xfId="0" applyBorder="true"/>
    <xf numFmtId="0" fontId="0" fillId="0" borderId="8" xfId="0" applyBorder="true"/>
    <xf numFmtId="0" fontId="1" fillId="0" borderId="10" xfId="0" applyFont="true" applyAlignment="true" applyBorder="true">
      <alignment horizontal="left" vertical="center"/>
    </xf>
    <xf numFmtId="0" fontId="2" fillId="0" borderId="0" xfId="0" applyFont="true" applyAlignment="true">
      <alignment horizontal="center" vertical="center"/>
    </xf>
    <xf numFmtId="0" fontId="3" fillId="0" borderId="0" xfId="0" applyFont="true" applyAlignment="true">
      <alignment wrapText="true" horizontal="center" vertical="center"/>
    </xf>
    <xf numFmtId="0" fontId="4" fillId="0" borderId="0" xfId="0" applyFont="true" applyAlignment="true">
      <alignment horizontal="left" vertical="center"/>
    </xf>
    <xf numFmtId="0" fontId="5" fillId="0" borderId="0" xfId="0" applyFont="true" applyAlignment="true">
      <alignment horizontal="right" vertical="center"/>
    </xf>
    <xf numFmtId="0" fontId="6" fillId="0" borderId="0" xfId="0" applyFont="true" applyAlignment="true">
      <alignment horizontal="center" vertical="center"/>
    </xf>
    <xf numFmtId="0" fontId="7" fillId="0" borderId="0" xfId="0" applyFont="true" applyAlignment="true">
      <alignment wrapText="true" horizontal="left" vertical="center"/>
    </xf>
    <xf numFmtId="0" fontId="8" fillId="0" borderId="17" xfId="0" applyFont="true" applyAlignment="true" applyBorder="true">
      <alignment wrapText="true" horizontal="left" vertical="center"/>
    </xf>
    <xf numFmtId="0" fontId="9" fillId="0" borderId="17" xfId="0" applyFont="true" applyAlignment="true" applyBorder="true">
      <alignment wrapText="true" horizontal="left" indent="1" vertical="center"/>
    </xf>
    <xf numFmtId="0" fontId="10" fillId="0" borderId="21" xfId="0" applyFont="true" applyAlignment="true" applyBorder="true">
      <alignment wrapText="true" horizontal="left" vertical="center"/>
    </xf>
    <xf numFmtId="0" fontId="11" fillId="0" borderId="0" xfId="0" applyFont="true" applyAlignment="true">
      <alignment horizontal="right" vertical="center"/>
    </xf>
    <xf numFmtId="4" fontId="12" fillId="0" borderId="0" xfId="0" applyFont="true" applyAlignment="true" applyNumberFormat="true">
      <alignment horizontal="right" vertical="center"/>
    </xf>
    <xf numFmtId="4" fontId="13" fillId="0" borderId="0" xfId="0" applyFont="true" applyAlignment="true" applyNumberFormat="true">
      <alignment horizontal="right" vertical="center"/>
    </xf>
    <xf numFmtId="4" fontId="14" fillId="0" borderId="0" xfId="0" applyFont="true" applyAlignment="true" applyNumberFormat="true">
      <alignment horizontal="left" vertical="center"/>
    </xf>
    <xf numFmtId="0" fontId="15" fillId="0" borderId="0" xfId="0" applyFont="true" applyAlignment="true">
      <alignment horizontal="center" vertical="center"/>
    </xf>
    <xf numFmtId="0" fontId="16" fillId="3" borderId="17" xfId="0" applyFont="true" applyAlignment="true" applyBorder="true" applyFill="true">
      <alignment wrapText="true" horizontal="left" vertical="center"/>
    </xf>
    <xf numFmtId="0" fontId="17" fillId="3" borderId="0" xfId="0" applyFont="true" applyAlignment="true" applyFill="true">
      <alignment wrapText="true" horizontal="center" vertical="center"/>
    </xf>
    <xf numFmtId="0" fontId="16" fillId="5" borderId="17" xfId="0" applyFont="true" applyAlignment="true" applyBorder="true" applyFill="true">
      <alignment wrapText="true" horizontal="left" vertical="center"/>
    </xf>
    <xf numFmtId="0" fontId="16" fillId="3" borderId="23" xfId="0" applyFont="true" applyAlignment="true" applyBorder="true" applyFill="true">
      <alignment wrapText="true" horizontal="left" vertical="center"/>
    </xf>
    <xf numFmtId="0" fontId="16" fillId="5" borderId="0" xfId="0" applyFont="true" applyBorder="true" applyFill="true">
      <alignment wrapText="true"/>
    </xf>
    <xf numFmtId="0" fontId="18" fillId="7" borderId="26" xfId="0" applyFont="true" applyAlignment="true" applyBorder="true" applyFill="true">
      <alignment wrapText="true" horizontal="left" vertical="top"/>
    </xf>
    <xf numFmtId="0" fontId="16" fillId="5" borderId="30" xfId="0" applyFont="true" applyAlignment="true" applyBorder="true" applyFill="true">
      <alignment wrapText="true" horizontal="right" vertical="center"/>
    </xf>
    <xf numFmtId="0" fontId="16" fillId="5" borderId="30" xfId="0" applyFont="true" applyAlignment="true" applyBorder="true" applyFill="true">
      <alignment wrapText="true" horizontal="left" vertical="center"/>
    </xf>
    <xf numFmtId="0" fontId="16" fillId="5" borderId="30" xfId="0" applyFont="true" applyAlignment="true" applyBorder="true" applyFill="true">
      <alignment wrapText="true" horizontal="center" vertical="center"/>
    </xf>
    <xf numFmtId="4" fontId="19" fillId="0" borderId="0" xfId="0" applyFont="true" applyAlignment="true" applyNumberFormat="true">
      <alignment horizontal="right" vertical="center"/>
    </xf>
    <xf numFmtId="0" fontId="20" fillId="5" borderId="33" xfId="0" applyFont="true" applyAlignment="true" applyBorder="true" applyFill="true">
      <alignment wrapText="true" horizontal="left" vertical="top"/>
    </xf>
    <xf numFmtId="0" fontId="21" fillId="9" borderId="0" xfId="0" applyFont="true" applyAlignment="true" applyFill="true">
      <alignment wrapText="true" horizontal="right" vertical="center"/>
    </xf>
    <xf numFmtId="0" fontId="22" fillId="0" borderId="0" xfId="0" applyFont="true" applyAlignment="true">
      <alignment wrapText="true" horizontal="right" vertical="center"/>
    </xf>
    <xf numFmtId="0" fontId="23" fillId="0" borderId="0" xfId="0" applyFont="true" applyAlignment="true">
      <alignment wrapText="true" horizontal="center" vertical="center"/>
    </xf>
    <xf numFmtId="0" fontId="16" fillId="5" borderId="17" xfId="0" applyFont="true" applyAlignment="true" applyBorder="true" applyFill="true">
      <alignment wrapText="true" horizontal="right" vertical="center"/>
    </xf>
    <xf numFmtId="0" fontId="24" fillId="0" borderId="10" xfId="0" applyFont="true" applyAlignment="true" applyBorder="true">
      <alignment wrapText="true" horizontal="left" vertical="center"/>
    </xf>
    <xf numFmtId="0" fontId="0" fillId="0" borderId="37" xfId="0" applyAlignment="true" applyBorder="true">
      <alignment wrapText="true" horizontal="left" vertical="center"/>
    </xf>
    <xf numFmtId="4" fontId="25" fillId="0" borderId="21" xfId="0" applyFont="true" applyBorder="true" applyAlignment="true" applyNumberFormat="true">
      <alignment horizontal="right" vertical="center"/>
    </xf>
    <xf numFmtId="4" fontId="25" fillId="5" borderId="17" xfId="0" applyFont="true" applyBorder="true" applyAlignment="true" applyNumberFormat="true" applyFill="true">
      <alignment horizontal="right" vertical="center"/>
    </xf>
    <xf numFmtId="0" fontId="26" fillId="0" borderId="40" xfId="0" applyFont="true" applyBorder="true" applyAlignment="true">
      <alignment horizontal="right" vertical="center"/>
    </xf>
    <xf numFmtId="0" fontId="0" fillId="0" borderId="42" xfId="0" applyAlignment="true" applyBorder="true">
      <alignment wrapText="true" horizontal="left" vertical="center"/>
    </xf>
    <xf numFmtId="0" fontId="16" fillId="3" borderId="17" xfId="0" applyFont="true" applyAlignment="true" applyBorder="true" applyFill="true">
      <alignment wrapText="true" horizontal="right" vertical="center"/>
    </xf>
    <xf numFmtId="0" fontId="16" fillId="3" borderId="17" xfId="0" applyFont="true" applyAlignment="true" applyBorder="true" applyFill="true">
      <alignment wrapText="true" horizontal="center" vertical="center"/>
    </xf>
    <xf numFmtId="0" fontId="27" fillId="0" borderId="17" xfId="0" applyFont="true" applyAlignment="true" applyBorder="true">
      <alignment wrapText="true" horizontal="left" vertical="center"/>
    </xf>
    <xf numFmtId="0" fontId="27" fillId="0" borderId="17" xfId="0" applyFont="true" applyAlignment="true" applyBorder="true">
      <alignment wrapText="true" horizontal="left" indent="1" vertical="center"/>
    </xf>
    <xf numFmtId="0" fontId="27" fillId="0" borderId="17" xfId="0" applyFont="true" applyAlignment="true" applyBorder="true">
      <alignment wrapText="true" horizontal="left" indent="2" vertical="center"/>
    </xf>
    <xf numFmtId="0" fontId="27" fillId="0" borderId="17" xfId="0" applyFont="true" applyAlignment="true" applyBorder="true">
      <alignment wrapText="true" horizontal="left" indent="3" vertical="center"/>
    </xf>
    <xf numFmtId="0" fontId="27" fillId="0" borderId="17" xfId="0" applyFont="true" applyAlignment="true" applyBorder="true">
      <alignment wrapText="false" horizontal="left" vertical="center"/>
    </xf>
    <xf numFmtId="4" fontId="27" fillId="0" borderId="17" xfId="0" applyFont="true" applyAlignment="true" applyBorder="true" applyNumberFormat="true">
      <alignment wrapText="true" horizontal="right" vertical="center"/>
    </xf>
    <xf numFmtId="0" fontId="27" fillId="0" borderId="17" xfId="0" applyFont="true" applyAlignment="true" applyBorder="true">
      <alignment wrapText="true" horizontal="center" vertical="center"/>
    </xf>
    <xf numFmtId="1" fontId="27" fillId="0" borderId="17" xfId="0" applyFont="true" applyAlignment="true" applyBorder="true" applyNumberFormat="true">
      <alignment wrapText="true" horizontal="center" vertical="center"/>
    </xf>
    <xf numFmtId="0" fontId="28" fillId="0" borderId="17" xfId="0" applyFont="true" applyAlignment="true" applyBorder="true">
      <alignment wrapText="true" horizontal="left" vertical="center"/>
    </xf>
    <xf numFmtId="0" fontId="29" fillId="0" borderId="0" xfId="0" applyFont="true" applyAlignment="true">
      <alignment wrapText="true" horizontal="left" vertical="top"/>
    </xf>
    <xf numFmtId="0" fontId="30" fillId="0" borderId="0" xfId="0" applyFont="true" applyAlignment="true">
      <alignment wrapText="true" horizontal="left" vertical="center"/>
    </xf>
    <xf numFmtId="0" fontId="27" fillId="0" borderId="0" xfId="0" applyFont="true" applyAlignment="true">
      <alignment wrapText="true" horizontal="left" vertical="top"/>
    </xf>
    <xf numFmtId="164" fontId="31" fillId="0" borderId="17" xfId="0" applyFont="true" applyAlignment="true" applyBorder="true" applyNumberFormat="true">
      <alignment wrapText="true" horizontal="left" vertical="center"/>
    </xf>
    <xf numFmtId="0" fontId="27" fillId="0" borderId="17" xfId="0" applyFont="true" applyAlignment="true" applyBorder="true">
      <alignment wrapText="true" indent="1" horizontal="left" vertical="center"/>
    </xf>
    <xf numFmtId="1" fontId="27" fillId="0" borderId="17" xfId="0" applyFont="true" applyAlignment="true" applyBorder="true" applyNumberFormat="true">
      <alignment wrapText="true" indent="1" horizontal="right" vertical="center"/>
    </xf>
    <xf numFmtId="0" fontId="32" fillId="0" borderId="0" xfId="0" applyFont="true" applyAlignment="true">
      <alignment horizontal="right" vertical="center"/>
    </xf>
    <xf numFmtId="0" fontId="33" fillId="11" borderId="0" xfId="0" applyFill="true" applyFont="true" applyAlignment="true">
      <alignment horizontal="left"/>
    </xf>
    <xf numFmtId="0" fontId="34" fillId="0" borderId="0" xfId="0" applyFont="true" applyAlignment="true">
      <alignment horizontal="left" vertical="top"/>
    </xf>
    <xf numFmtId="0" fontId="35" fillId="0" borderId="0" xfId="0" applyFont="true" applyAlignment="true">
      <alignment horizontal="left" vertical="top"/>
    </xf>
    <xf numFmtId="0" fontId="36" fillId="0" borderId="0" xfId="0" applyFont="true" applyAlignment="true">
      <alignment horizontal="left" vertical="top" wrapText="true"/>
    </xf>
    <xf numFmtId="4" fontId="37" fillId="0" borderId="13" xfId="0" applyFont="true" applyAlignment="true" applyBorder="true" applyNumberFormat="true">
      <alignment horizontal="left" vertical="center"/>
    </xf>
    <xf numFmtId="0" fontId="38" fillId="0" borderId="13" xfId="0" applyFont="true" applyAlignment="true" applyBorder="true">
      <alignment horizontal="left" vertical="center"/>
    </xf>
    <xf numFmtId="0" fontId="38" fillId="13" borderId="17" xfId="0" applyFont="true" applyAlignment="true" applyBorder="true" applyFill="true">
      <alignment wrapText="true" horizontal="center" vertical="center"/>
    </xf>
    <xf numFmtId="0" fontId="38" fillId="15" borderId="17" xfId="0" applyFont="true" applyAlignment="true" applyBorder="true" applyFill="true">
      <alignment wrapText="true" horizontal="center" vertical="center"/>
    </xf>
    <xf numFmtId="0" fontId="38" fillId="17" borderId="17" xfId="0" applyFont="true" applyAlignment="true" applyBorder="true" applyFill="true">
      <alignment wrapText="true" horizontal="center" vertical="center"/>
    </xf>
    <xf numFmtId="0" fontId="39" fillId="0" borderId="0" xfId="0" applyFont="true" applyAlignment="true">
      <alignment wrapText="true" horizontal="left" vertical="center"/>
    </xf>
    <xf numFmtId="0" fontId="16" fillId="0" borderId="0" xfId="0" applyFont="true" applyAlignment="true">
      <alignment wrapText="true" horizontal="right" vertical="center"/>
    </xf>
    <xf numFmtId="0" fontId="27" fillId="0" borderId="0" xfId="0" applyFont="true" applyAlignment="true">
      <alignment wrapText="true" horizontal="left" vertical="center"/>
    </xf>
    <xf numFmtId="0" fontId="27" fillId="0" borderId="0" xfId="0" applyFont="true" applyAlignment="true">
      <alignment wrapText="true" horizontal="right" vertical="center"/>
    </xf>
    <xf numFmtId="0" fontId="40" fillId="0" borderId="0" xfId="0" applyFont="true" applyAlignment="true">
      <alignment wrapText="true" horizontal="left" vertical="center"/>
    </xf>
    <xf numFmtId="4" fontId="41" fillId="0" borderId="47" xfId="0" applyFont="true" applyAlignment="true" applyBorder="true" applyNumberFormat="true">
      <alignment wrapText="true" horizontal="right" vertical="center"/>
    </xf>
    <xf numFmtId="4" fontId="42" fillId="0" borderId="17" xfId="0" applyFont="true" applyAlignment="true" applyBorder="true" applyNumberFormat="true">
      <alignment wrapText="true" horizontal="right" vertical="center"/>
    </xf>
    <xf numFmtId="0" fontId="27" fillId="0" borderId="17" xfId="0" applyFont="true" applyAlignment="true" applyBorder="true">
      <alignment wrapText="true" horizontal="left" vertical="top"/>
    </xf>
    <xf numFmtId="0" fontId="43" fillId="0" borderId="17" xfId="0" applyFont="true" applyAlignment="true" applyBorder="true">
      <alignment wrapText="true" horizontal="left" vertical="top"/>
    </xf>
    <xf numFmtId="0" fontId="44" fillId="0" borderId="17" xfId="0" applyNumberFormat="true" applyFont="true" applyAlignment="true" applyBorder="true">
      <alignment wrapText="true" horizontal="left" vertical="top"/>
    </xf>
    <xf numFmtId="165" fontId="45" fillId="0" borderId="17" xfId="0" applyNumberFormat="true" applyFont="true" applyAlignment="true" applyBorder="true">
      <alignment wrapText="true" horizontal="left" vertical="top"/>
    </xf>
    <xf numFmtId="0" fontId="46" fillId="0" borderId="17" xfId="0" applyFont="true" applyAlignment="true" applyBorder="true">
      <alignment wrapText="true" horizontal="left" vertical="top"/>
    </xf>
    <xf numFmtId="0" fontId="16" fillId="3" borderId="51" xfId="0" applyFont="true" applyAlignment="true" applyBorder="true" applyFill="true">
      <alignment wrapText="true" horizontal="center" vertical="center"/>
    </xf>
    <xf numFmtId="0" fontId="47" fillId="3" borderId="17" xfId="0" applyFont="true" applyAlignment="true" applyBorder="true" applyFill="true">
      <alignment wrapText="true" horizontal="left" vertical="center"/>
    </xf>
    <xf numFmtId="0" fontId="48" fillId="0" borderId="0" xfId="0" applyFont="true" applyAlignment="true">
      <alignment wrapText="true" horizontal="left" vertical="center"/>
    </xf>
    <xf numFmtId="0" fontId="49" fillId="0" borderId="0" xfId="0" applyFont="true" applyAlignment="true">
      <alignment wrapText="true" horizontal="left" vertical="center" indent="5"/>
    </xf>
    <xf numFmtId="0" fontId="50" fillId="0" borderId="0" xfId="0" applyFont="true" applyAlignment="true">
      <alignment wrapText="true" horizontal="left" vertical="center" indent="8"/>
    </xf>
    <xf numFmtId="0" fontId="51" fillId="0" borderId="0" xfId="0" applyFont="true" applyAlignment="true">
      <alignment wrapText="true" horizontal="left" vertical="center" indent="6"/>
    </xf>
    <xf numFmtId="0" fontId="52" fillId="0" borderId="0" xfId="0" applyFont="true" applyAlignment="true">
      <alignment wrapText="true" horizontal="left" vertical="center" indent="7"/>
    </xf>
    <xf numFmtId="0" fontId="53" fillId="0" borderId="0" xfId="0" applyFont="true" applyAlignment="true">
      <alignment wrapText="true" horizontal="left" vertical="center" indent="8"/>
    </xf>
    <xf numFmtId="0" fontId="54" fillId="0" borderId="0" xfId="0" applyFont="true" applyAlignment="true">
      <alignment wrapText="true" horizontal="left" vertical="center" indent="10"/>
    </xf>
    <xf numFmtId="0" fontId="55" fillId="0" borderId="0" xfId="0" applyFont="true" applyAlignment="true">
      <alignment wrapText="true" horizontal="left" vertical="center" indent="12"/>
    </xf>
    <xf numFmtId="0" fontId="56" fillId="0" borderId="0" xfId="0" applyFont="true" applyAlignment="true">
      <alignment wrapText="true" horizontal="left" vertical="center" indent="8"/>
    </xf>
    <xf numFmtId="0" fontId="57" fillId="0" borderId="0" xfId="0" applyFont="true" applyAlignment="true">
      <alignment wrapText="true" horizontal="left" vertical="center" indent="12"/>
    </xf>
    <xf numFmtId="0" fontId="58" fillId="0" borderId="0" xfId="0" applyFont="true" applyAlignment="true">
      <alignment wrapText="true" horizontal="left" vertical="center" indent="8"/>
    </xf>
    <xf numFmtId="0" fontId="59" fillId="0" borderId="0" xfId="0" applyFont="true" applyAlignment="true">
      <alignment wrapText="true" horizontal="center" vertical="center" indent="7"/>
    </xf>
    <xf numFmtId="0" fontId="60" fillId="0" borderId="0" xfId="0" applyFont="true" applyAlignment="true">
      <alignment wrapText="true" horizontal="left" vertical="center" indent="10"/>
    </xf>
    <xf numFmtId="0" fontId="61" fillId="0" borderId="0" xfId="0" applyFont="true" applyAlignment="true">
      <alignment wrapText="true" horizontal="center" vertical="center" indent="10"/>
    </xf>
    <xf numFmtId="4" fontId="66" fillId="0" borderId="17" xfId="0" applyFont="true" applyAlignment="true" applyBorder="true" applyNumberFormat="true">
      <alignment wrapText="true" horizontal="right" vertical="center"/>
    </xf>
    <xf numFmtId="4" fontId="67" fillId="0" borderId="17" xfId="0" applyFont="true" applyAlignment="true" applyBorder="true" applyNumberFormat="true">
      <alignment wrapText="true" horizontal="right" vertical="center"/>
    </xf>
    <xf numFmtId="4" fontId="68" fillId="0" borderId="17" xfId="0" applyFont="true" applyAlignment="true" applyBorder="true" applyNumberFormat="true">
      <alignment wrapText="true" horizontal="right" vertical="center"/>
    </xf>
    <xf numFmtId="4" fontId="69" fillId="0" borderId="17" xfId="0" applyFont="true" applyAlignment="true" applyBorder="true" applyNumberFormat="true">
      <alignment wrapText="true" horizontal="right" vertical="center"/>
    </xf>
    <xf numFmtId="4" fontId="70" fillId="0" borderId="17" xfId="0" applyFont="true" applyAlignment="true" applyBorder="true" applyNumberFormat="true">
      <alignment wrapText="true" horizontal="right" vertical="center"/>
    </xf>
    <xf numFmtId="4" fontId="71" fillId="0" borderId="17" xfId="0" applyFont="true" applyAlignment="true" applyBorder="true" applyNumberFormat="true">
      <alignment wrapText="true" horizontal="right" vertical="center"/>
    </xf>
    <xf numFmtId="4" fontId="72" fillId="0" borderId="17" xfId="0" applyFont="true" applyAlignment="true" applyBorder="true" applyNumberFormat="true">
      <alignment wrapText="true" horizontal="right" vertical="center"/>
    </xf>
    <xf numFmtId="4" fontId="73" fillId="0" borderId="17" xfId="0" applyFont="true" applyAlignment="true" applyBorder="true" applyNumberFormat="true">
      <alignment wrapText="true" horizontal="right" vertical="center"/>
    </xf>
    <xf numFmtId="4" fontId="74" fillId="0" borderId="17" xfId="0" applyFont="true" applyAlignment="true" applyBorder="true" applyNumberFormat="true">
      <alignment wrapText="true" horizontal="right" vertical="center"/>
    </xf>
    <xf numFmtId="4" fontId="75" fillId="0" borderId="17" xfId="0" applyFont="true" applyAlignment="true" applyBorder="true" applyNumberFormat="true">
      <alignment wrapText="true" horizontal="right" vertical="center"/>
    </xf>
    <xf numFmtId="4" fontId="76" fillId="0" borderId="17" xfId="0" applyFont="true" applyAlignment="true" applyBorder="true" applyNumberFormat="true">
      <alignment wrapText="true" horizontal="right" vertical="center"/>
    </xf>
    <xf numFmtId="4" fontId="77" fillId="0" borderId="17" xfId="0" applyFont="true" applyAlignment="true" applyBorder="true" applyNumberFormat="true">
      <alignment wrapText="true" horizontal="right" vertical="center"/>
    </xf>
    <xf numFmtId="4" fontId="78" fillId="0" borderId="17" xfId="0" applyFont="true" applyAlignment="true" applyBorder="true" applyNumberFormat="true">
      <alignment wrapText="true" horizontal="right" vertical="center"/>
    </xf>
    <xf numFmtId="4" fontId="79" fillId="0" borderId="17" xfId="0" applyFont="true" applyAlignment="true" applyBorder="true" applyNumberFormat="true">
      <alignment wrapText="true" horizontal="right" vertical="center"/>
    </xf>
    <xf numFmtId="4" fontId="80" fillId="0" borderId="17" xfId="0" applyFont="true" applyAlignment="true" applyBorder="true" applyNumberFormat="true">
      <alignment wrapText="true" horizontal="right" vertical="center"/>
    </xf>
    <xf numFmtId="4" fontId="81" fillId="0" borderId="17" xfId="0" applyFont="true" applyAlignment="true" applyBorder="true" applyNumberFormat="true">
      <alignment wrapText="true" horizontal="right" vertical="center"/>
    </xf>
    <xf numFmtId="4" fontId="82" fillId="0" borderId="17" xfId="0" applyFont="true" applyAlignment="true" applyBorder="true" applyNumberFormat="true">
      <alignment wrapText="true" horizontal="right" vertical="center"/>
    </xf>
    <xf numFmtId="4" fontId="83" fillId="0" borderId="17" xfId="0" applyFont="true" applyAlignment="true" applyBorder="true" applyNumberFormat="true">
      <alignment wrapText="true" horizontal="right" vertical="center"/>
    </xf>
    <xf numFmtId="4" fontId="84" fillId="0" borderId="17" xfId="0" applyFont="true" applyAlignment="true" applyBorder="true" applyNumberFormat="true">
      <alignment wrapText="true" horizontal="right" vertical="center"/>
    </xf>
    <xf numFmtId="4" fontId="85" fillId="0" borderId="17" xfId="0" applyFont="true" applyAlignment="true" applyBorder="true" applyNumberFormat="true">
      <alignment wrapText="true" horizontal="right" vertical="center"/>
    </xf>
    <xf numFmtId="4" fontId="86" fillId="0" borderId="17" xfId="0" applyFont="true" applyAlignment="true" applyBorder="true" applyNumberFormat="true">
      <alignment wrapText="true" horizontal="right" vertical="center"/>
    </xf>
    <xf numFmtId="4" fontId="87" fillId="0" borderId="17" xfId="0" applyFont="true" applyAlignment="true" applyBorder="true" applyNumberFormat="true">
      <alignment wrapText="true" horizontal="right" vertical="center"/>
    </xf>
    <xf numFmtId="4" fontId="88" fillId="0" borderId="17" xfId="0" applyFont="true" applyAlignment="true" applyBorder="true" applyNumberFormat="true">
      <alignment wrapText="true" horizontal="right" vertical="center"/>
    </xf>
    <xf numFmtId="4" fontId="89" fillId="0" borderId="17" xfId="0" applyFont="true" applyAlignment="true" applyBorder="true" applyNumberFormat="true">
      <alignment wrapText="true" horizontal="right" vertical="center"/>
    </xf>
    <xf numFmtId="4" fontId="90" fillId="0" borderId="17" xfId="0" applyFont="true" applyAlignment="true" applyBorder="true" applyNumberFormat="true">
      <alignment wrapText="true" horizontal="right" vertical="center"/>
    </xf>
    <xf numFmtId="4" fontId="91" fillId="0" borderId="17" xfId="0" applyFont="true" applyAlignment="true" applyBorder="true" applyNumberFormat="true">
      <alignment wrapText="true" horizontal="right" vertical="center"/>
    </xf>
    <xf numFmtId="4" fontId="92" fillId="0" borderId="17" xfId="0" applyFont="true" applyAlignment="true" applyBorder="true" applyNumberFormat="true">
      <alignment wrapText="true" horizontal="right" vertical="center"/>
    </xf>
    <xf numFmtId="4" fontId="93" fillId="0" borderId="17" xfId="0" applyFont="true" applyAlignment="true" applyBorder="true" applyNumberFormat="true">
      <alignment wrapText="true" horizontal="right" vertical="center"/>
    </xf>
    <xf numFmtId="4" fontId="94" fillId="0" borderId="17" xfId="0" applyFont="true" applyAlignment="true" applyBorder="true" applyNumberFormat="true">
      <alignment wrapText="true" horizontal="right" vertical="center"/>
    </xf>
    <xf numFmtId="4" fontId="95" fillId="0" borderId="17" xfId="0" applyFont="true" applyAlignment="true" applyBorder="true" applyNumberFormat="true">
      <alignment wrapText="true" horizontal="right" vertical="center"/>
    </xf>
    <xf numFmtId="4" fontId="96" fillId="0" borderId="17" xfId="0" applyFont="true" applyAlignment="true" applyBorder="true" applyNumberFormat="true">
      <alignment wrapText="true" horizontal="right" vertical="center"/>
    </xf>
    <xf numFmtId="4" fontId="97" fillId="0" borderId="17" xfId="0" applyFont="true" applyAlignment="true" applyBorder="true" applyNumberFormat="true">
      <alignment wrapText="true" horizontal="right" vertical="center"/>
    </xf>
    <xf numFmtId="4" fontId="98" fillId="0" borderId="17" xfId="0" applyFont="true" applyAlignment="true" applyBorder="true" applyNumberFormat="true">
      <alignment wrapText="true" horizontal="right" vertical="center"/>
    </xf>
    <xf numFmtId="4" fontId="99" fillId="0" borderId="17" xfId="0" applyFont="true" applyAlignment="true" applyBorder="true" applyNumberFormat="true">
      <alignment wrapText="true" horizontal="right" vertical="center"/>
    </xf>
    <xf numFmtId="4" fontId="100" fillId="0" borderId="17" xfId="0" applyFont="true" applyAlignment="true" applyBorder="true" applyNumberFormat="true">
      <alignment wrapText="true" horizontal="right" vertical="center"/>
    </xf>
    <xf numFmtId="4" fontId="101" fillId="0" borderId="17" xfId="0" applyFont="true" applyAlignment="true" applyBorder="true" applyNumberFormat="true">
      <alignment wrapText="true" horizontal="right" vertical="center"/>
    </xf>
    <xf numFmtId="4" fontId="102" fillId="0" borderId="17" xfId="0" applyFont="true" applyAlignment="true" applyBorder="true" applyNumberFormat="true">
      <alignment wrapText="true" horizontal="right" vertical="center"/>
    </xf>
    <xf numFmtId="4" fontId="103" fillId="0" borderId="17" xfId="0" applyFont="true" applyAlignment="true" applyBorder="true" applyNumberFormat="true">
      <alignment wrapText="true" horizontal="right" vertical="center"/>
    </xf>
    <xf numFmtId="4" fontId="104" fillId="0" borderId="17" xfId="0" applyFont="true" applyAlignment="true" applyBorder="true" applyNumberFormat="true">
      <alignment wrapText="true" horizontal="right" vertical="center"/>
    </xf>
    <xf numFmtId="4" fontId="105" fillId="0" borderId="17" xfId="0" applyFont="true" applyAlignment="true" applyBorder="true" applyNumberFormat="true">
      <alignment wrapText="true" horizontal="right" vertical="center"/>
    </xf>
    <xf numFmtId="4" fontId="106" fillId="0" borderId="17" xfId="0" applyFont="true" applyAlignment="true" applyBorder="true" applyNumberFormat="true">
      <alignment wrapText="true" horizontal="right" vertical="center"/>
    </xf>
    <xf numFmtId="4" fontId="107" fillId="0" borderId="17" xfId="0" applyFont="true" applyAlignment="true" applyBorder="true" applyNumberFormat="true">
      <alignment wrapText="true" horizontal="right" vertical="center"/>
    </xf>
    <xf numFmtId="4" fontId="108" fillId="0" borderId="17" xfId="0" applyFont="true" applyAlignment="true" applyBorder="true" applyNumberFormat="true">
      <alignment wrapText="true" horizontal="right" vertical="center"/>
    </xf>
    <xf numFmtId="4" fontId="109" fillId="0" borderId="17" xfId="0" applyFont="true" applyAlignment="true" applyBorder="true" applyNumberFormat="true">
      <alignment wrapText="true" horizontal="right" vertical="center"/>
    </xf>
    <xf numFmtId="4" fontId="110" fillId="0" borderId="17" xfId="0" applyFont="true" applyAlignment="true" applyBorder="true" applyNumberFormat="true">
      <alignment wrapText="true" horizontal="right" vertical="center"/>
    </xf>
    <xf numFmtId="4" fontId="111" fillId="0" borderId="17" xfId="0" applyFont="true" applyAlignment="true" applyBorder="true" applyNumberFormat="true">
      <alignment wrapText="true" horizontal="right" vertical="center"/>
    </xf>
    <xf numFmtId="4" fontId="112" fillId="0" borderId="17" xfId="0" applyFont="true" applyAlignment="true" applyBorder="true" applyNumberFormat="true">
      <alignment wrapText="true" horizontal="right" vertical="center"/>
    </xf>
    <xf numFmtId="4" fontId="113" fillId="0" borderId="17" xfId="0" applyFont="true" applyAlignment="true" applyBorder="true" applyNumberFormat="true">
      <alignment wrapText="true" horizontal="right" vertical="center"/>
    </xf>
    <xf numFmtId="4" fontId="114" fillId="0" borderId="17" xfId="0" applyFont="true" applyAlignment="true" applyBorder="true" applyNumberFormat="true">
      <alignment wrapText="true" horizontal="right" vertical="center"/>
    </xf>
    <xf numFmtId="4" fontId="115" fillId="0" borderId="17" xfId="0" applyFont="true" applyAlignment="true" applyBorder="true" applyNumberFormat="true">
      <alignment wrapText="true" horizontal="right" vertical="center"/>
    </xf>
    <xf numFmtId="4" fontId="116" fillId="0" borderId="17" xfId="0" applyFont="true" applyAlignment="true" applyBorder="true" applyNumberFormat="true">
      <alignment wrapText="true" horizontal="right" vertical="center"/>
    </xf>
    <xf numFmtId="4" fontId="117" fillId="0" borderId="17" xfId="0" applyFont="true" applyAlignment="true" applyBorder="true" applyNumberFormat="true">
      <alignment wrapText="true" horizontal="right" vertical="center"/>
    </xf>
    <xf numFmtId="4" fontId="118" fillId="0" borderId="17" xfId="0" applyFont="true" applyAlignment="true" applyBorder="true" applyNumberFormat="true">
      <alignment wrapText="true" horizontal="right" vertical="center"/>
    </xf>
    <xf numFmtId="4" fontId="119" fillId="0" borderId="17" xfId="0" applyFont="true" applyAlignment="true" applyBorder="true" applyNumberFormat="true">
      <alignment wrapText="true" horizontal="right" vertical="center"/>
    </xf>
    <xf numFmtId="4" fontId="120" fillId="0" borderId="17" xfId="0" applyFont="true" applyAlignment="true" applyBorder="true" applyNumberFormat="true">
      <alignment wrapText="true" horizontal="right" vertical="center"/>
    </xf>
    <xf numFmtId="4" fontId="121" fillId="0" borderId="17" xfId="0" applyFont="true" applyAlignment="true" applyBorder="true" applyNumberFormat="true">
      <alignment wrapText="true" horizontal="right" vertical="center"/>
    </xf>
    <xf numFmtId="4" fontId="122" fillId="0" borderId="17" xfId="0" applyFont="true" applyAlignment="true" applyBorder="true" applyNumberFormat="true">
      <alignment wrapText="true" horizontal="right" vertical="center"/>
    </xf>
    <xf numFmtId="4" fontId="123" fillId="0" borderId="17" xfId="0" applyFont="true" applyAlignment="true" applyBorder="true" applyNumberFormat="true">
      <alignment wrapText="true" horizontal="right" vertical="center"/>
    </xf>
    <xf numFmtId="4" fontId="124" fillId="0" borderId="17" xfId="0" applyFont="true" applyAlignment="true" applyBorder="true" applyNumberFormat="true">
      <alignment wrapText="true" horizontal="right" vertical="center"/>
    </xf>
    <xf numFmtId="4" fontId="125" fillId="0" borderId="17" xfId="0" applyFont="true" applyAlignment="true" applyBorder="true" applyNumberFormat="true">
      <alignment wrapText="true" horizontal="right" vertical="center"/>
    </xf>
    <xf numFmtId="4" fontId="126" fillId="0" borderId="17" xfId="0" applyFont="true" applyAlignment="true" applyBorder="true" applyNumberFormat="true">
      <alignment wrapText="true" horizontal="right" vertical="center"/>
    </xf>
    <xf numFmtId="4" fontId="127" fillId="0" borderId="17" xfId="0" applyFont="true" applyAlignment="true" applyBorder="true" applyNumberFormat="true">
      <alignment wrapText="true" horizontal="right" vertical="center"/>
    </xf>
    <xf numFmtId="4" fontId="128" fillId="0" borderId="17" xfId="0" applyFont="true" applyAlignment="true" applyBorder="true" applyNumberFormat="true">
      <alignment wrapText="true" horizontal="right" vertical="center"/>
    </xf>
    <xf numFmtId="4" fontId="129" fillId="0" borderId="17" xfId="0" applyFont="true" applyAlignment="true" applyBorder="true" applyNumberFormat="true">
      <alignment wrapText="true" horizontal="right" vertical="center"/>
    </xf>
    <xf numFmtId="4" fontId="130" fillId="0" borderId="17" xfId="0" applyFont="true" applyAlignment="true" applyBorder="true" applyNumberFormat="true">
      <alignment wrapText="true" horizontal="right" vertical="center"/>
    </xf>
    <xf numFmtId="4" fontId="131" fillId="0" borderId="17" xfId="0" applyFont="true" applyAlignment="true" applyBorder="true" applyNumberFormat="true">
      <alignment wrapText="true" horizontal="right" vertical="center"/>
    </xf>
    <xf numFmtId="4" fontId="132" fillId="0" borderId="17" xfId="0" applyFont="true" applyAlignment="true" applyBorder="true" applyNumberFormat="true">
      <alignment wrapText="true" horizontal="right" vertical="center"/>
    </xf>
    <xf numFmtId="4" fontId="133" fillId="0" borderId="17" xfId="0" applyFont="true" applyAlignment="true" applyBorder="true" applyNumberFormat="true">
      <alignment wrapText="true" horizontal="right" vertical="center"/>
    </xf>
    <xf numFmtId="4" fontId="134" fillId="0" borderId="17" xfId="0" applyFont="true" applyAlignment="true" applyBorder="true" applyNumberFormat="true">
      <alignment wrapText="true" horizontal="right" vertical="center"/>
    </xf>
    <xf numFmtId="4" fontId="135" fillId="0" borderId="17" xfId="0" applyFont="true" applyAlignment="true" applyBorder="true" applyNumberFormat="true">
      <alignment wrapText="true" horizontal="right" vertical="center"/>
    </xf>
    <xf numFmtId="4" fontId="136" fillId="0" borderId="17" xfId="0" applyFont="true" applyAlignment="true" applyBorder="true" applyNumberFormat="true">
      <alignment wrapText="true" horizontal="right" vertical="center"/>
    </xf>
    <xf numFmtId="4" fontId="137" fillId="0" borderId="17" xfId="0" applyFont="true" applyAlignment="true" applyBorder="true" applyNumberFormat="true">
      <alignment wrapText="true" horizontal="right" vertical="center"/>
    </xf>
    <xf numFmtId="4" fontId="138" fillId="0" borderId="17" xfId="0" applyFont="true" applyAlignment="true" applyBorder="true" applyNumberFormat="true">
      <alignment wrapText="true" horizontal="right" vertical="center"/>
    </xf>
    <xf numFmtId="4" fontId="139" fillId="0" borderId="17" xfId="0" applyFont="true" applyAlignment="true" applyBorder="true" applyNumberFormat="true">
      <alignment wrapText="true" horizontal="right" vertical="center"/>
    </xf>
    <xf numFmtId="4" fontId="140" fillId="0" borderId="17" xfId="0" applyFont="true" applyAlignment="true" applyBorder="true" applyNumberFormat="true">
      <alignment wrapText="true" horizontal="right" vertical="center"/>
    </xf>
    <xf numFmtId="4" fontId="141" fillId="0" borderId="17" xfId="0" applyFont="true" applyAlignment="true" applyBorder="true" applyNumberFormat="true">
      <alignment wrapText="true" horizontal="right" vertical="center"/>
    </xf>
    <xf numFmtId="4" fontId="142" fillId="0" borderId="17" xfId="0" applyFont="true" applyAlignment="true" applyBorder="true" applyNumberFormat="true">
      <alignment wrapText="true" horizontal="right" vertical="center"/>
    </xf>
    <xf numFmtId="4" fontId="143" fillId="0" borderId="17" xfId="0" applyFont="true" applyAlignment="true" applyBorder="true" applyNumberFormat="true">
      <alignment wrapText="true" horizontal="right" vertical="center"/>
    </xf>
    <xf numFmtId="4" fontId="144" fillId="0" borderId="17" xfId="0" applyFont="true" applyAlignment="true" applyBorder="true" applyNumberFormat="true">
      <alignment wrapText="true" horizontal="right" vertical="center"/>
    </xf>
    <xf numFmtId="4" fontId="145" fillId="0" borderId="17" xfId="0" applyFont="true" applyAlignment="true" applyBorder="true" applyNumberFormat="true">
      <alignment wrapText="true" horizontal="right" vertical="center"/>
    </xf>
    <xf numFmtId="4" fontId="146" fillId="0" borderId="17" xfId="0" applyFont="true" applyAlignment="true" applyBorder="true" applyNumberFormat="true">
      <alignment wrapText="true" horizontal="right" vertical="center"/>
    </xf>
    <xf numFmtId="4" fontId="147" fillId="0" borderId="17" xfId="0" applyFont="true" applyAlignment="true" applyBorder="true" applyNumberFormat="true">
      <alignment wrapText="true" horizontal="right" vertical="center"/>
    </xf>
    <xf numFmtId="4" fontId="148" fillId="0" borderId="17" xfId="0" applyFont="true" applyAlignment="true" applyBorder="true" applyNumberFormat="true">
      <alignment wrapText="true" horizontal="righ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1</xdr:row>
      <xdr:rowOff>0</xdr:rowOff>
    </xdr:from>
    <xdr:to>
      <xdr:col>1</xdr:col>
      <xdr:colOff>0</xdr:colOff>
      <xdr:row>5</xdr:row>
      <xdr:rowOff>0</xdr:rowOff>
    </xdr:to>
    <xdr:pic>
      <xdr:nvPicPr>
        <xdr:cNvPr id="1" name="Picture 1" descr="Picture"/>
        <xdr:cNvPicPr>
          <a:picLocks noChangeAspect="true"/>
        </xdr:cNvPicPr>
      </xdr:nvPicPr>
      <xdr:blipFill>
        <a:blip r:embed="rId1"/>
        <a:stretch>
          <a:fillRect/>
        </a:stretch>
      </xdr:blipFill>
      <xdr:spPr>
        <a:xfrm>
          <a:off x="0" y="0"/>
          <a:ext cx="1562100" cy="7429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2:K121"/>
  <sheetViews>
    <sheetView workbookViewId="0" tabSelected="true" showGridLines="false"/>
  </sheetViews>
  <sheetFormatPr defaultRowHeight="12.75" baseColWidth="14" customHeight="true"/>
  <cols>
    <col min="1" max="1" width="23.4375" customWidth="true"/>
    <col min="2" max="2" width="13.671875" customWidth="true"/>
    <col min="3" max="3" width="31.25" customWidth="true"/>
    <col min="4" max="4" width="16.40625" customWidth="true"/>
    <col min="5" max="5" width="7.8125" customWidth="true"/>
    <col min="6" max="6" width="18.359375" customWidth="true"/>
    <col min="7" max="7" width="9.765625" customWidth="true"/>
    <col min="8" max="8" width="9.765625" customWidth="true"/>
    <col min="9" max="9" width="13.671875" customWidth="true"/>
    <col min="10" max="10" width="7.03125" customWidth="true"/>
    <col min="11" max="11" width="20.87890625" customWidth="true" bestFit="true"/>
  </cols>
  <sheetData>
    <row r="2" ht="20.4" customHeight="true">
      <c r="A2" s="6" t="s">
        <v>0</v>
      </c>
    </row>
    <row r="7">
      <c r="A7" s="11" t="s">
        <v>1</v>
      </c>
      <c r="J7" s="8" t="s">
        <v>7</v>
      </c>
    </row>
    <row r="8">
      <c r="A8" s="11" t="s">
        <v>2</v>
      </c>
      <c r="J8" s="11" t="s">
        <v>7</v>
      </c>
    </row>
    <row r="9">
      <c r="A9" s="11" t="s">
        <v>3</v>
      </c>
      <c r="J9" s="11" t="s">
        <v>7</v>
      </c>
    </row>
    <row r="10">
      <c r="A10" s="11" t="s">
        <v>4</v>
      </c>
      <c r="J10" s="11" t="s">
        <v>5</v>
      </c>
    </row>
    <row r="11">
      <c r="A11" s="11" t="s">
        <v>5</v>
      </c>
    </row>
    <row r="12">
      <c r="A12" s="11" t="s">
        <v>6</v>
      </c>
    </row>
    <row r="14">
      <c r="A14" s="3" t="s">
        <v>7</v>
      </c>
      <c r="B14" s="3" t="s">
        <v>7</v>
      </c>
      <c r="C14" s="3" t="s">
        <v>7</v>
      </c>
      <c r="D14" s="3" t="s">
        <v>7</v>
      </c>
      <c r="E14" s="3" t="s">
        <v>7</v>
      </c>
      <c r="F14" s="3" t="s">
        <v>7</v>
      </c>
      <c r="G14" s="3" t="s">
        <v>7</v>
      </c>
      <c r="H14" s="3" t="s">
        <v>7</v>
      </c>
      <c r="I14" s="3" t="s">
        <v>7</v>
      </c>
      <c r="J14" s="3" t="s">
        <v>7</v>
      </c>
      <c r="K14" s="3" t="s">
        <v>7</v>
      </c>
    </row>
    <row r="15">
      <c r="A15" s="7" t="s">
        <v>8</v>
      </c>
    </row>
    <row r="17">
      <c r="A17" s="10" t="s">
        <v>9</v>
      </c>
    </row>
    <row r="18">
      <c r="A18" s="8" t="s">
        <v>10</v>
      </c>
      <c r="I18" s="8" t="s">
        <v>168</v>
      </c>
      <c r="K18" s="15" t="s">
        <v>169</v>
      </c>
    </row>
    <row r="19">
      <c r="I19" s="8" t="s">
        <v>170</v>
      </c>
      <c r="K19" s="15" t="s">
        <v>171</v>
      </c>
    </row>
    <row r="20">
      <c r="I20" s="8" t="s">
        <v>172</v>
      </c>
      <c r="K20" s="15" t="s">
        <v>173</v>
      </c>
    </row>
    <row r="22">
      <c r="I22" s="15" t="s">
        <v>11</v>
      </c>
    </row>
    <row r="23" ht="42.0" customHeight="true">
      <c r="A23" s="20" t="s">
        <v>12</v>
      </c>
      <c r="B23" s="20" t="s">
        <v>13</v>
      </c>
      <c r="C23" s="20" t="s">
        <v>14</v>
      </c>
      <c r="D23" s="42" t="s">
        <v>15</v>
      </c>
      <c r="E23" s="42" t="s">
        <v>16</v>
      </c>
      <c r="F23" s="41" t="s">
        <v>17</v>
      </c>
      <c r="G23" s="42" t="s">
        <v>18</v>
      </c>
      <c r="H23" s="42" t="s">
        <v>19</v>
      </c>
      <c r="I23" s="41" t="s">
        <v>20</v>
      </c>
      <c r="J23" s="41" t="s">
        <v>21</v>
      </c>
      <c r="K23" s="41" t="s">
        <v>22</v>
      </c>
    </row>
    <row r="24">
      <c r="A24" s="79" t="s">
        <v>23</v>
      </c>
      <c r="B24" s="75" t="s">
        <v>24</v>
      </c>
      <c r="C24" s="75" t="s">
        <v>25</v>
      </c>
      <c r="D24" s="49" t="s">
        <v>26</v>
      </c>
      <c r="E24" s="49" t="n">
        <v>28.0</v>
      </c>
      <c r="F24" s="48" t="n">
        <v>355778.75</v>
      </c>
      <c r="G24" s="50" t="s">
        <v>7</v>
      </c>
      <c r="H24" s="50" t="n">
        <v>4.0</v>
      </c>
      <c r="I24" s="48" t="n">
        <f>ROUND(F24-((F24*J24)/100), 2)</f>
        <v>355778.75</v>
      </c>
      <c r="J24" s="48" t="n">
        <v>0.0</v>
      </c>
      <c r="K24" s="48" t="n">
        <f>ROUND((H24 * I24),2)</f>
        <v>1423115.0</v>
      </c>
    </row>
    <row r="25">
      <c r="A25" s="43" t="s">
        <v>27</v>
      </c>
      <c r="B25" s="43" t="s">
        <v>24</v>
      </c>
      <c r="C25" s="75" t="s">
        <v>28</v>
      </c>
      <c r="D25" s="49" t="n">
        <v>12.0</v>
      </c>
      <c r="E25" s="49" t="s">
        <v>29</v>
      </c>
      <c r="F25" s="96" t="n">
        <v>21931.33</v>
      </c>
      <c r="G25" s="50" t="s">
        <v>7</v>
      </c>
      <c r="H25" s="50" t="n">
        <v>4.0</v>
      </c>
      <c r="I25" s="48" t="n">
        <f>ROUND(F25-((F25*J25)/100), 2)</f>
        <v>21931.33</v>
      </c>
      <c r="J25" s="48" t="n">
        <v>0.0</v>
      </c>
      <c r="K25" s="48" t="n">
        <f>ROUND((H25 * I25),2)</f>
        <v>87725.32</v>
      </c>
    </row>
    <row r="26">
      <c r="A26" s="43" t="s">
        <v>30</v>
      </c>
      <c r="B26" s="43" t="s">
        <v>31</v>
      </c>
      <c r="C26" s="75" t="s">
        <v>32</v>
      </c>
      <c r="D26" s="49" t="s">
        <v>26</v>
      </c>
      <c r="E26" s="49" t="n">
        <v>14.0</v>
      </c>
      <c r="F26" s="97" t="n">
        <v>0.0</v>
      </c>
      <c r="G26" s="50" t="s">
        <v>7</v>
      </c>
      <c r="H26" s="50" t="n">
        <v>4.0</v>
      </c>
      <c r="I26" s="48" t="n">
        <f>ROUND(F26-((F26*J26)/100), 2)</f>
        <v>0.0</v>
      </c>
      <c r="J26" s="48" t="n">
        <v>0.0</v>
      </c>
      <c r="K26" s="48" t="n">
        <f>ROUND((H26 * I26),2)</f>
        <v>0.0</v>
      </c>
    </row>
    <row r="27">
      <c r="A27" s="43" t="s">
        <v>33</v>
      </c>
      <c r="B27" s="43" t="s">
        <v>24</v>
      </c>
      <c r="C27" s="75" t="s">
        <v>34</v>
      </c>
      <c r="D27" s="49" t="n">
        <v>12.0</v>
      </c>
      <c r="E27" s="49" t="s">
        <v>29</v>
      </c>
      <c r="F27" s="98" t="n">
        <v>5696.87</v>
      </c>
      <c r="G27" s="50" t="s">
        <v>7</v>
      </c>
      <c r="H27" s="50" t="n">
        <v>4.0</v>
      </c>
      <c r="I27" s="48" t="n">
        <f>ROUND(F27-((F27*J27)/100), 2)</f>
        <v>5696.87</v>
      </c>
      <c r="J27" s="48" t="n">
        <v>0.0</v>
      </c>
      <c r="K27" s="48" t="n">
        <f>ROUND((H27 * I27),2)</f>
        <v>22787.48</v>
      </c>
    </row>
    <row r="28">
      <c r="A28" s="43" t="s">
        <v>35</v>
      </c>
      <c r="B28" s="43" t="s">
        <v>24</v>
      </c>
      <c r="C28" s="75" t="s">
        <v>36</v>
      </c>
      <c r="D28" s="49" t="n">
        <v>36.0</v>
      </c>
      <c r="E28" s="49" t="s">
        <v>29</v>
      </c>
      <c r="F28" s="99" t="n">
        <v>79193.82</v>
      </c>
      <c r="G28" s="50" t="s">
        <v>7</v>
      </c>
      <c r="H28" s="50" t="n">
        <v>4.0</v>
      </c>
      <c r="I28" s="48" t="n">
        <f>ROUND(F28-((F28*J28)/100), 2)</f>
        <v>79193.82</v>
      </c>
      <c r="J28" s="48" t="n">
        <v>0.0</v>
      </c>
      <c r="K28" s="48" t="n">
        <f>ROUND((H28 * I28),2)</f>
        <v>316775.28</v>
      </c>
    </row>
    <row r="29">
      <c r="A29" s="43" t="s">
        <v>37</v>
      </c>
      <c r="B29" s="43" t="s">
        <v>24</v>
      </c>
      <c r="C29" s="75" t="s">
        <v>38</v>
      </c>
      <c r="D29" s="49" t="s">
        <v>26</v>
      </c>
      <c r="E29" s="49" t="n">
        <v>7.0</v>
      </c>
      <c r="F29" s="100" t="n">
        <v>0.0</v>
      </c>
      <c r="G29" s="50" t="s">
        <v>7</v>
      </c>
      <c r="H29" s="50" t="n">
        <v>8.0</v>
      </c>
      <c r="I29" s="48" t="n">
        <f>ROUND(F29-((F29*J29)/100), 2)</f>
        <v>0.0</v>
      </c>
      <c r="J29" s="48" t="n">
        <v>0.0</v>
      </c>
      <c r="K29" s="48" t="n">
        <f>ROUND((H29 * I29),2)</f>
        <v>0.0</v>
      </c>
    </row>
    <row r="30">
      <c r="A30" s="43" t="s">
        <v>39</v>
      </c>
      <c r="B30" s="43" t="s">
        <v>24</v>
      </c>
      <c r="C30" s="75" t="s">
        <v>40</v>
      </c>
      <c r="D30" s="49" t="s">
        <v>26</v>
      </c>
      <c r="E30" s="49" t="n">
        <v>14.0</v>
      </c>
      <c r="F30" s="101" t="n">
        <v>0.0</v>
      </c>
      <c r="G30" s="50" t="s">
        <v>7</v>
      </c>
      <c r="H30" s="50" t="n">
        <v>4.0</v>
      </c>
      <c r="I30" s="48" t="n">
        <f>ROUND(F30-((F30*J30)/100), 2)</f>
        <v>0.0</v>
      </c>
      <c r="J30" s="48" t="n">
        <v>0.0</v>
      </c>
      <c r="K30" s="48" t="n">
        <f>ROUND((H30 * I30),2)</f>
        <v>0.0</v>
      </c>
    </row>
    <row r="31">
      <c r="A31" s="43" t="s">
        <v>41</v>
      </c>
      <c r="B31" s="43" t="s">
        <v>24</v>
      </c>
      <c r="C31" s="75" t="s">
        <v>42</v>
      </c>
      <c r="D31" s="49" t="s">
        <v>26</v>
      </c>
      <c r="E31" s="49" t="n">
        <v>14.0</v>
      </c>
      <c r="F31" s="102" t="n">
        <v>0.0</v>
      </c>
      <c r="G31" s="50" t="s">
        <v>7</v>
      </c>
      <c r="H31" s="50" t="n">
        <v>4.0</v>
      </c>
      <c r="I31" s="48" t="n">
        <f>ROUND(F31-((F31*J31)/100), 2)</f>
        <v>0.0</v>
      </c>
      <c r="J31" s="48" t="n">
        <v>0.0</v>
      </c>
      <c r="K31" s="48" t="n">
        <f>ROUND((H31 * I31),2)</f>
        <v>0.0</v>
      </c>
    </row>
    <row r="32">
      <c r="A32" s="43" t="s">
        <v>43</v>
      </c>
      <c r="B32" s="43" t="s">
        <v>24</v>
      </c>
      <c r="C32" s="75" t="s">
        <v>44</v>
      </c>
      <c r="D32" s="49" t="s">
        <v>26</v>
      </c>
      <c r="E32" s="49" t="n">
        <v>14.0</v>
      </c>
      <c r="F32" s="103" t="n">
        <v>0.0</v>
      </c>
      <c r="G32" s="50" t="s">
        <v>7</v>
      </c>
      <c r="H32" s="50" t="n">
        <v>8.0</v>
      </c>
      <c r="I32" s="48" t="n">
        <f>ROUND(F32-((F32*J32)/100), 2)</f>
        <v>0.0</v>
      </c>
      <c r="J32" s="48" t="n">
        <v>0.0</v>
      </c>
      <c r="K32" s="48" t="n">
        <f>ROUND((H32 * I32),2)</f>
        <v>0.0</v>
      </c>
    </row>
    <row r="33">
      <c r="A33" s="43" t="s">
        <v>45</v>
      </c>
      <c r="B33" s="43" t="s">
        <v>31</v>
      </c>
      <c r="C33" s="75" t="s">
        <v>46</v>
      </c>
      <c r="D33" s="49" t="s">
        <v>26</v>
      </c>
      <c r="E33" s="49" t="n">
        <v>14.0</v>
      </c>
      <c r="F33" s="104" t="n">
        <v>0.0</v>
      </c>
      <c r="G33" s="50" t="s">
        <v>7</v>
      </c>
      <c r="H33" s="50" t="n">
        <v>4.0</v>
      </c>
      <c r="I33" s="48" t="n">
        <f>ROUND(F33-((F33*J33)/100), 2)</f>
        <v>0.0</v>
      </c>
      <c r="J33" s="48" t="n">
        <v>0.0</v>
      </c>
      <c r="K33" s="48" t="n">
        <f>ROUND((H33 * I33),2)</f>
        <v>0.0</v>
      </c>
    </row>
    <row r="34">
      <c r="A34" s="43" t="s">
        <v>47</v>
      </c>
      <c r="B34" s="43" t="s">
        <v>24</v>
      </c>
      <c r="C34" s="75" t="s">
        <v>48</v>
      </c>
      <c r="D34" s="49" t="s">
        <v>26</v>
      </c>
      <c r="E34" s="49" t="n">
        <v>14.0</v>
      </c>
      <c r="F34" s="105" t="n">
        <v>0.0</v>
      </c>
      <c r="G34" s="50" t="s">
        <v>7</v>
      </c>
      <c r="H34" s="50" t="n">
        <v>4.0</v>
      </c>
      <c r="I34" s="48" t="n">
        <f>ROUND(F34-((F34*J34)/100), 2)</f>
        <v>0.0</v>
      </c>
      <c r="J34" s="48" t="n">
        <v>0.0</v>
      </c>
      <c r="K34" s="48" t="n">
        <f>ROUND((H34 * I34),2)</f>
        <v>0.0</v>
      </c>
    </row>
    <row r="35">
      <c r="A35" s="43" t="s">
        <v>49</v>
      </c>
      <c r="B35" s="43" t="s">
        <v>24</v>
      </c>
      <c r="C35" s="75" t="s">
        <v>50</v>
      </c>
      <c r="D35" s="49" t="s">
        <v>26</v>
      </c>
      <c r="E35" s="49" t="n">
        <v>14.0</v>
      </c>
      <c r="F35" s="106" t="n">
        <v>0.0</v>
      </c>
      <c r="G35" s="50" t="s">
        <v>7</v>
      </c>
      <c r="H35" s="50" t="n">
        <v>4.0</v>
      </c>
      <c r="I35" s="48" t="n">
        <f>ROUND(F35-((F35*J35)/100), 2)</f>
        <v>0.0</v>
      </c>
      <c r="J35" s="48" t="n">
        <v>0.0</v>
      </c>
      <c r="K35" s="48" t="n">
        <f>ROUND((H35 * I35),2)</f>
        <v>0.0</v>
      </c>
    </row>
    <row r="36">
      <c r="A36" s="43" t="s">
        <v>51</v>
      </c>
      <c r="B36" s="43" t="s">
        <v>24</v>
      </c>
      <c r="C36" s="75" t="s">
        <v>52</v>
      </c>
      <c r="D36" s="49" t="s">
        <v>26</v>
      </c>
      <c r="E36" s="49" t="n">
        <v>14.0</v>
      </c>
      <c r="F36" s="107" t="n">
        <v>0.0</v>
      </c>
      <c r="G36" s="50" t="s">
        <v>7</v>
      </c>
      <c r="H36" s="50" t="n">
        <v>4.0</v>
      </c>
      <c r="I36" s="48" t="n">
        <f>ROUND(F36-((F36*J36)/100), 2)</f>
        <v>0.0</v>
      </c>
      <c r="J36" s="48" t="n">
        <v>0.0</v>
      </c>
      <c r="K36" s="48" t="n">
        <f>ROUND((H36 * I36),2)</f>
        <v>0.0</v>
      </c>
    </row>
    <row r="37">
      <c r="A37" s="43" t="s">
        <v>53</v>
      </c>
      <c r="B37" s="43" t="s">
        <v>31</v>
      </c>
      <c r="C37" s="75" t="s">
        <v>54</v>
      </c>
      <c r="D37" s="49" t="s">
        <v>26</v>
      </c>
      <c r="E37" s="49" t="n">
        <v>2.0</v>
      </c>
      <c r="F37" s="108" t="n">
        <v>0.0</v>
      </c>
      <c r="G37" s="50" t="s">
        <v>7</v>
      </c>
      <c r="H37" s="50" t="n">
        <v>4.0</v>
      </c>
      <c r="I37" s="48" t="n">
        <f>ROUND(F37-((F37*J37)/100), 2)</f>
        <v>0.0</v>
      </c>
      <c r="J37" s="48" t="n">
        <v>0.0</v>
      </c>
      <c r="K37" s="48" t="n">
        <f>ROUND((H37 * I37),2)</f>
        <v>0.0</v>
      </c>
    </row>
    <row r="38">
      <c r="A38" s="43" t="s">
        <v>55</v>
      </c>
      <c r="B38" s="43" t="s">
        <v>24</v>
      </c>
      <c r="C38" s="75" t="s">
        <v>40</v>
      </c>
      <c r="D38" s="49" t="s">
        <v>26</v>
      </c>
      <c r="E38" s="49" t="n">
        <v>14.0</v>
      </c>
      <c r="F38" s="109" t="n">
        <v>25902.69</v>
      </c>
      <c r="G38" s="50" t="s">
        <v>7</v>
      </c>
      <c r="H38" s="50" t="n">
        <v>4.0</v>
      </c>
      <c r="I38" s="48" t="n">
        <f>ROUND(F38-((F38*J38)/100), 2)</f>
        <v>25902.69</v>
      </c>
      <c r="J38" s="48" t="n">
        <v>0.0</v>
      </c>
      <c r="K38" s="48" t="n">
        <f>ROUND((H38 * I38),2)</f>
        <v>103610.76</v>
      </c>
    </row>
    <row r="39">
      <c r="A39" s="79" t="s">
        <v>56</v>
      </c>
      <c r="B39" s="75" t="s">
        <v>24</v>
      </c>
      <c r="C39" s="75" t="s">
        <v>57</v>
      </c>
      <c r="D39" s="49" t="s">
        <v>26</v>
      </c>
      <c r="E39" s="49" t="n">
        <v>14.0</v>
      </c>
      <c r="F39" s="48" t="n">
        <v>322779.93</v>
      </c>
      <c r="G39" s="50" t="s">
        <v>7</v>
      </c>
      <c r="H39" s="50" t="n">
        <v>2.0</v>
      </c>
      <c r="I39" s="48" t="n">
        <f>ROUND(F39-((F39*J39)/100), 2)</f>
        <v>322779.93</v>
      </c>
      <c r="J39" s="48" t="n">
        <v>0.0</v>
      </c>
      <c r="K39" s="48" t="n">
        <f>ROUND((H39 * I39),2)</f>
        <v>645559.86</v>
      </c>
    </row>
    <row r="40">
      <c r="A40" s="43" t="s">
        <v>58</v>
      </c>
      <c r="B40" s="43" t="s">
        <v>24</v>
      </c>
      <c r="C40" s="75" t="s">
        <v>59</v>
      </c>
      <c r="D40" s="49" t="n">
        <v>12.0</v>
      </c>
      <c r="E40" s="49" t="s">
        <v>29</v>
      </c>
      <c r="F40" s="110" t="n">
        <v>19899.03</v>
      </c>
      <c r="G40" s="50" t="s">
        <v>7</v>
      </c>
      <c r="H40" s="50" t="n">
        <v>2.0</v>
      </c>
      <c r="I40" s="48" t="n">
        <f>ROUND(F40-((F40*J40)/100), 2)</f>
        <v>19899.03</v>
      </c>
      <c r="J40" s="48" t="n">
        <v>0.0</v>
      </c>
      <c r="K40" s="48" t="n">
        <f>ROUND((H40 * I40),2)</f>
        <v>39798.06</v>
      </c>
    </row>
    <row r="41">
      <c r="A41" s="43" t="s">
        <v>60</v>
      </c>
      <c r="B41" s="43" t="s">
        <v>31</v>
      </c>
      <c r="C41" s="75" t="s">
        <v>61</v>
      </c>
      <c r="D41" s="49" t="s">
        <v>26</v>
      </c>
      <c r="E41" s="49" t="n">
        <v>14.0</v>
      </c>
      <c r="F41" s="111" t="n">
        <v>0.0</v>
      </c>
      <c r="G41" s="50" t="s">
        <v>7</v>
      </c>
      <c r="H41" s="50" t="n">
        <v>2.0</v>
      </c>
      <c r="I41" s="48" t="n">
        <f>ROUND(F41-((F41*J41)/100), 2)</f>
        <v>0.0</v>
      </c>
      <c r="J41" s="48" t="n">
        <v>0.0</v>
      </c>
      <c r="K41" s="48" t="n">
        <f>ROUND((H41 * I41),2)</f>
        <v>0.0</v>
      </c>
    </row>
    <row r="42">
      <c r="A42" s="43" t="s">
        <v>62</v>
      </c>
      <c r="B42" s="43" t="s">
        <v>24</v>
      </c>
      <c r="C42" s="75" t="s">
        <v>63</v>
      </c>
      <c r="D42" s="49" t="n">
        <v>12.0</v>
      </c>
      <c r="E42" s="49" t="s">
        <v>29</v>
      </c>
      <c r="F42" s="112" t="n">
        <v>944.14</v>
      </c>
      <c r="G42" s="50" t="s">
        <v>7</v>
      </c>
      <c r="H42" s="50" t="n">
        <v>2.0</v>
      </c>
      <c r="I42" s="48" t="n">
        <f>ROUND(F42-((F42*J42)/100), 2)</f>
        <v>944.14</v>
      </c>
      <c r="J42" s="48" t="n">
        <v>0.0</v>
      </c>
      <c r="K42" s="48" t="n">
        <f>ROUND((H42 * I42),2)</f>
        <v>1888.28</v>
      </c>
    </row>
    <row r="43">
      <c r="A43" s="43" t="s">
        <v>64</v>
      </c>
      <c r="B43" s="43" t="s">
        <v>24</v>
      </c>
      <c r="C43" s="75" t="s">
        <v>65</v>
      </c>
      <c r="D43" s="49" t="n">
        <v>36.0</v>
      </c>
      <c r="E43" s="49" t="s">
        <v>29</v>
      </c>
      <c r="F43" s="113" t="n">
        <v>13155.34</v>
      </c>
      <c r="G43" s="50" t="s">
        <v>7</v>
      </c>
      <c r="H43" s="50" t="n">
        <v>2.0</v>
      </c>
      <c r="I43" s="48" t="n">
        <f>ROUND(F43-((F43*J43)/100), 2)</f>
        <v>13155.34</v>
      </c>
      <c r="J43" s="48" t="n">
        <v>0.0</v>
      </c>
      <c r="K43" s="48" t="n">
        <f>ROUND((H43 * I43),2)</f>
        <v>26310.68</v>
      </c>
    </row>
    <row r="44">
      <c r="A44" s="43" t="s">
        <v>66</v>
      </c>
      <c r="B44" s="43" t="s">
        <v>31</v>
      </c>
      <c r="C44" s="75" t="s">
        <v>67</v>
      </c>
      <c r="D44" s="49" t="s">
        <v>26</v>
      </c>
      <c r="E44" s="49" t="n">
        <v>14.0</v>
      </c>
      <c r="F44" s="114" t="n">
        <v>0.0</v>
      </c>
      <c r="G44" s="50" t="s">
        <v>7</v>
      </c>
      <c r="H44" s="50" t="n">
        <v>2.0</v>
      </c>
      <c r="I44" s="48" t="n">
        <f>ROUND(F44-((F44*J44)/100), 2)</f>
        <v>0.0</v>
      </c>
      <c r="J44" s="48" t="n">
        <v>0.0</v>
      </c>
      <c r="K44" s="48" t="n">
        <f>ROUND((H44 * I44),2)</f>
        <v>0.0</v>
      </c>
    </row>
    <row r="45">
      <c r="A45" s="43" t="s">
        <v>68</v>
      </c>
      <c r="B45" s="43" t="s">
        <v>24</v>
      </c>
      <c r="C45" s="75" t="s">
        <v>69</v>
      </c>
      <c r="D45" s="49" t="n">
        <v>36.0</v>
      </c>
      <c r="E45" s="49" t="s">
        <v>29</v>
      </c>
      <c r="F45" s="115" t="n">
        <v>0.0</v>
      </c>
      <c r="G45" s="50" t="s">
        <v>7</v>
      </c>
      <c r="H45" s="50" t="n">
        <v>2.0</v>
      </c>
      <c r="I45" s="48" t="n">
        <f>ROUND(F45-((F45*J45)/100), 2)</f>
        <v>0.0</v>
      </c>
      <c r="J45" s="48" t="n">
        <v>0.0</v>
      </c>
      <c r="K45" s="48" t="n">
        <f>ROUND((H45 * I45),2)</f>
        <v>0.0</v>
      </c>
    </row>
    <row r="46">
      <c r="A46" s="43" t="s">
        <v>70</v>
      </c>
      <c r="B46" s="43" t="s">
        <v>31</v>
      </c>
      <c r="C46" s="75" t="s">
        <v>71</v>
      </c>
      <c r="D46" s="49" t="s">
        <v>26</v>
      </c>
      <c r="E46" s="49" t="n">
        <v>14.0</v>
      </c>
      <c r="F46" s="116" t="n">
        <v>0.0</v>
      </c>
      <c r="G46" s="50" t="s">
        <v>7</v>
      </c>
      <c r="H46" s="50" t="n">
        <v>2.0</v>
      </c>
      <c r="I46" s="48" t="n">
        <f>ROUND(F46-((F46*J46)/100), 2)</f>
        <v>0.0</v>
      </c>
      <c r="J46" s="48" t="n">
        <v>0.0</v>
      </c>
      <c r="K46" s="48" t="n">
        <f>ROUND((H46 * I46),2)</f>
        <v>0.0</v>
      </c>
    </row>
    <row r="47">
      <c r="A47" s="43" t="s">
        <v>72</v>
      </c>
      <c r="B47" s="43" t="s">
        <v>24</v>
      </c>
      <c r="C47" s="75" t="s">
        <v>73</v>
      </c>
      <c r="D47" s="49" t="n">
        <v>36.0</v>
      </c>
      <c r="E47" s="49" t="s">
        <v>29</v>
      </c>
      <c r="F47" s="117" t="n">
        <v>0.0</v>
      </c>
      <c r="G47" s="50" t="s">
        <v>7</v>
      </c>
      <c r="H47" s="50" t="n">
        <v>2.0</v>
      </c>
      <c r="I47" s="48" t="n">
        <f>ROUND(F47-((F47*J47)/100), 2)</f>
        <v>0.0</v>
      </c>
      <c r="J47" s="48" t="n">
        <v>0.0</v>
      </c>
      <c r="K47" s="48" t="n">
        <f>ROUND((H47 * I47),2)</f>
        <v>0.0</v>
      </c>
    </row>
    <row r="48">
      <c r="A48" s="43" t="s">
        <v>74</v>
      </c>
      <c r="B48" s="43" t="s">
        <v>31</v>
      </c>
      <c r="C48" s="75" t="s">
        <v>75</v>
      </c>
      <c r="D48" s="49" t="s">
        <v>26</v>
      </c>
      <c r="E48" s="49" t="n">
        <v>14.0</v>
      </c>
      <c r="F48" s="118" t="n">
        <v>0.0</v>
      </c>
      <c r="G48" s="50" t="s">
        <v>7</v>
      </c>
      <c r="H48" s="50" t="n">
        <v>2.0</v>
      </c>
      <c r="I48" s="48" t="n">
        <f>ROUND(F48-((F48*J48)/100), 2)</f>
        <v>0.0</v>
      </c>
      <c r="J48" s="48" t="n">
        <v>0.0</v>
      </c>
      <c r="K48" s="48" t="n">
        <f>ROUND((H48 * I48),2)</f>
        <v>0.0</v>
      </c>
    </row>
    <row r="49">
      <c r="A49" s="43" t="s">
        <v>76</v>
      </c>
      <c r="B49" s="43" t="s">
        <v>24</v>
      </c>
      <c r="C49" s="75" t="s">
        <v>48</v>
      </c>
      <c r="D49" s="49" t="s">
        <v>26</v>
      </c>
      <c r="E49" s="49" t="n">
        <v>14.0</v>
      </c>
      <c r="F49" s="119" t="n">
        <v>0.0</v>
      </c>
      <c r="G49" s="50" t="s">
        <v>7</v>
      </c>
      <c r="H49" s="50" t="n">
        <v>2.0</v>
      </c>
      <c r="I49" s="48" t="n">
        <f>ROUND(F49-((F49*J49)/100), 2)</f>
        <v>0.0</v>
      </c>
      <c r="J49" s="48" t="n">
        <v>0.0</v>
      </c>
      <c r="K49" s="48" t="n">
        <f>ROUND((H49 * I49),2)</f>
        <v>0.0</v>
      </c>
    </row>
    <row r="50">
      <c r="A50" s="43" t="s">
        <v>77</v>
      </c>
      <c r="B50" s="43" t="s">
        <v>24</v>
      </c>
      <c r="C50" s="75" t="s">
        <v>78</v>
      </c>
      <c r="D50" s="49" t="s">
        <v>26</v>
      </c>
      <c r="E50" s="49" t="n">
        <v>14.0</v>
      </c>
      <c r="F50" s="120" t="n">
        <v>0.0</v>
      </c>
      <c r="G50" s="50" t="s">
        <v>7</v>
      </c>
      <c r="H50" s="50" t="n">
        <v>2.0</v>
      </c>
      <c r="I50" s="48" t="n">
        <f>ROUND(F50-((F50*J50)/100), 2)</f>
        <v>0.0</v>
      </c>
      <c r="J50" s="48" t="n">
        <v>0.0</v>
      </c>
      <c r="K50" s="48" t="n">
        <f>ROUND((H50 * I50),2)</f>
        <v>0.0</v>
      </c>
    </row>
    <row r="51">
      <c r="A51" s="43" t="s">
        <v>79</v>
      </c>
      <c r="B51" s="43" t="s">
        <v>24</v>
      </c>
      <c r="C51" s="75" t="s">
        <v>80</v>
      </c>
      <c r="D51" s="49" t="s">
        <v>26</v>
      </c>
      <c r="E51" s="49" t="n">
        <v>14.0</v>
      </c>
      <c r="F51" s="121" t="n">
        <v>0.0</v>
      </c>
      <c r="G51" s="50" t="s">
        <v>7</v>
      </c>
      <c r="H51" s="50" t="n">
        <v>2.0</v>
      </c>
      <c r="I51" s="48" t="n">
        <f>ROUND(F51-((F51*J51)/100), 2)</f>
        <v>0.0</v>
      </c>
      <c r="J51" s="48" t="n">
        <v>0.0</v>
      </c>
      <c r="K51" s="48" t="n">
        <f>ROUND((H51 * I51),2)</f>
        <v>0.0</v>
      </c>
    </row>
    <row r="52">
      <c r="A52" s="43" t="s">
        <v>81</v>
      </c>
      <c r="B52" s="43" t="s">
        <v>24</v>
      </c>
      <c r="C52" s="75" t="s">
        <v>82</v>
      </c>
      <c r="D52" s="49" t="s">
        <v>26</v>
      </c>
      <c r="E52" s="49" t="n">
        <v>7.0</v>
      </c>
      <c r="F52" s="122" t="n">
        <v>0.0</v>
      </c>
      <c r="G52" s="50" t="s">
        <v>7</v>
      </c>
      <c r="H52" s="50" t="n">
        <v>4.0</v>
      </c>
      <c r="I52" s="48" t="n">
        <f>ROUND(F52-((F52*J52)/100), 2)</f>
        <v>0.0</v>
      </c>
      <c r="J52" s="48" t="n">
        <v>0.0</v>
      </c>
      <c r="K52" s="48" t="n">
        <f>ROUND((H52 * I52),2)</f>
        <v>0.0</v>
      </c>
    </row>
    <row r="53">
      <c r="A53" s="43" t="s">
        <v>83</v>
      </c>
      <c r="B53" s="43" t="s">
        <v>24</v>
      </c>
      <c r="C53" s="75" t="s">
        <v>84</v>
      </c>
      <c r="D53" s="49" t="s">
        <v>26</v>
      </c>
      <c r="E53" s="49" t="n">
        <v>14.0</v>
      </c>
      <c r="F53" s="123" t="n">
        <v>0.0</v>
      </c>
      <c r="G53" s="50" t="s">
        <v>7</v>
      </c>
      <c r="H53" s="50" t="n">
        <v>2.0</v>
      </c>
      <c r="I53" s="48" t="n">
        <f>ROUND(F53-((F53*J53)/100), 2)</f>
        <v>0.0</v>
      </c>
      <c r="J53" s="48" t="n">
        <v>0.0</v>
      </c>
      <c r="K53" s="48" t="n">
        <f>ROUND((H53 * I53),2)</f>
        <v>0.0</v>
      </c>
    </row>
    <row r="54">
      <c r="A54" s="43" t="s">
        <v>85</v>
      </c>
      <c r="B54" s="43" t="s">
        <v>24</v>
      </c>
      <c r="C54" s="75" t="s">
        <v>50</v>
      </c>
      <c r="D54" s="49" t="s">
        <v>26</v>
      </c>
      <c r="E54" s="49" t="n">
        <v>14.0</v>
      </c>
      <c r="F54" s="124" t="n">
        <v>0.0</v>
      </c>
      <c r="G54" s="50" t="s">
        <v>7</v>
      </c>
      <c r="H54" s="50" t="n">
        <v>2.0</v>
      </c>
      <c r="I54" s="48" t="n">
        <f>ROUND(F54-((F54*J54)/100), 2)</f>
        <v>0.0</v>
      </c>
      <c r="J54" s="48" t="n">
        <v>0.0</v>
      </c>
      <c r="K54" s="48" t="n">
        <f>ROUND((H54 * I54),2)</f>
        <v>0.0</v>
      </c>
    </row>
    <row r="55">
      <c r="A55" s="43" t="s">
        <v>86</v>
      </c>
      <c r="B55" s="43" t="s">
        <v>24</v>
      </c>
      <c r="C55" s="75" t="s">
        <v>87</v>
      </c>
      <c r="D55" s="49" t="s">
        <v>26</v>
      </c>
      <c r="E55" s="49" t="n">
        <v>14.0</v>
      </c>
      <c r="F55" s="125" t="n">
        <v>0.0</v>
      </c>
      <c r="G55" s="50" t="s">
        <v>7</v>
      </c>
      <c r="H55" s="50" t="n">
        <v>2.0</v>
      </c>
      <c r="I55" s="48" t="n">
        <f>ROUND(F55-((F55*J55)/100), 2)</f>
        <v>0.0</v>
      </c>
      <c r="J55" s="48" t="n">
        <v>0.0</v>
      </c>
      <c r="K55" s="48" t="n">
        <f>ROUND((H55 * I55),2)</f>
        <v>0.0</v>
      </c>
    </row>
    <row r="56">
      <c r="A56" s="43" t="s">
        <v>88</v>
      </c>
      <c r="B56" s="43" t="s">
        <v>24</v>
      </c>
      <c r="C56" s="75" t="s">
        <v>89</v>
      </c>
      <c r="D56" s="49" t="s">
        <v>26</v>
      </c>
      <c r="E56" s="49" t="n">
        <v>21.0</v>
      </c>
      <c r="F56" s="126" t="n">
        <v>0.0</v>
      </c>
      <c r="G56" s="50" t="s">
        <v>7</v>
      </c>
      <c r="H56" s="50" t="n">
        <v>2.0</v>
      </c>
      <c r="I56" s="48" t="n">
        <f>ROUND(F56-((F56*J56)/100), 2)</f>
        <v>0.0</v>
      </c>
      <c r="J56" s="48" t="n">
        <v>0.0</v>
      </c>
      <c r="K56" s="48" t="n">
        <f>ROUND((H56 * I56),2)</f>
        <v>0.0</v>
      </c>
    </row>
    <row r="57">
      <c r="A57" s="43" t="s">
        <v>90</v>
      </c>
      <c r="B57" s="43" t="s">
        <v>24</v>
      </c>
      <c r="C57" s="75" t="s">
        <v>91</v>
      </c>
      <c r="D57" s="49" t="s">
        <v>26</v>
      </c>
      <c r="E57" s="49" t="n">
        <v>14.0</v>
      </c>
      <c r="F57" s="127" t="n">
        <v>0.0</v>
      </c>
      <c r="G57" s="50" t="s">
        <v>7</v>
      </c>
      <c r="H57" s="50" t="n">
        <v>2.0</v>
      </c>
      <c r="I57" s="48" t="n">
        <f>ROUND(F57-((F57*J57)/100), 2)</f>
        <v>0.0</v>
      </c>
      <c r="J57" s="48" t="n">
        <v>0.0</v>
      </c>
      <c r="K57" s="48" t="n">
        <f>ROUND((H57 * I57),2)</f>
        <v>0.0</v>
      </c>
    </row>
    <row r="58">
      <c r="A58" s="43" t="s">
        <v>53</v>
      </c>
      <c r="B58" s="43" t="s">
        <v>31</v>
      </c>
      <c r="C58" s="75" t="s">
        <v>54</v>
      </c>
      <c r="D58" s="49" t="s">
        <v>26</v>
      </c>
      <c r="E58" s="49" t="n">
        <v>2.0</v>
      </c>
      <c r="F58" s="128" t="n">
        <v>0.0</v>
      </c>
      <c r="G58" s="50" t="s">
        <v>7</v>
      </c>
      <c r="H58" s="50" t="n">
        <v>2.0</v>
      </c>
      <c r="I58" s="48" t="n">
        <f>ROUND(F58-((F58*J58)/100), 2)</f>
        <v>0.0</v>
      </c>
      <c r="J58" s="48" t="n">
        <v>0.0</v>
      </c>
      <c r="K58" s="48" t="n">
        <f>ROUND((H58 * I58),2)</f>
        <v>0.0</v>
      </c>
    </row>
    <row r="59">
      <c r="A59" s="43" t="s">
        <v>92</v>
      </c>
      <c r="B59" s="43" t="s">
        <v>24</v>
      </c>
      <c r="C59" s="75" t="s">
        <v>93</v>
      </c>
      <c r="D59" s="49" t="s">
        <v>26</v>
      </c>
      <c r="E59" s="49" t="n">
        <v>14.0</v>
      </c>
      <c r="F59" s="129" t="n">
        <v>14380.85</v>
      </c>
      <c r="G59" s="50" t="s">
        <v>7</v>
      </c>
      <c r="H59" s="50" t="n">
        <v>2.0</v>
      </c>
      <c r="I59" s="48" t="n">
        <f>ROUND(F59-((F59*J59)/100), 2)</f>
        <v>14380.85</v>
      </c>
      <c r="J59" s="48" t="n">
        <v>0.0</v>
      </c>
      <c r="K59" s="48" t="n">
        <f>ROUND((H59 * I59),2)</f>
        <v>28761.7</v>
      </c>
    </row>
    <row r="60">
      <c r="A60" s="43" t="s">
        <v>94</v>
      </c>
      <c r="B60" s="43" t="s">
        <v>24</v>
      </c>
      <c r="C60" s="75" t="s">
        <v>95</v>
      </c>
      <c r="D60" s="49" t="s">
        <v>26</v>
      </c>
      <c r="E60" s="49" t="n">
        <v>21.0</v>
      </c>
      <c r="F60" s="130" t="n">
        <v>29337.03</v>
      </c>
      <c r="G60" s="50" t="s">
        <v>7</v>
      </c>
      <c r="H60" s="50" t="n">
        <v>2.0</v>
      </c>
      <c r="I60" s="48" t="n">
        <f>ROUND(F60-((F60*J60)/100), 2)</f>
        <v>29337.03</v>
      </c>
      <c r="J60" s="48" t="n">
        <v>0.0</v>
      </c>
      <c r="K60" s="48" t="n">
        <f>ROUND((H60 * I60),2)</f>
        <v>58674.06</v>
      </c>
    </row>
    <row r="61">
      <c r="A61" s="43" t="s">
        <v>96</v>
      </c>
      <c r="B61" s="43" t="s">
        <v>24</v>
      </c>
      <c r="C61" s="75" t="s">
        <v>97</v>
      </c>
      <c r="D61" s="49" t="s">
        <v>26</v>
      </c>
      <c r="E61" s="49" t="n">
        <v>21.0</v>
      </c>
      <c r="F61" s="131" t="n">
        <v>2300.91</v>
      </c>
      <c r="G61" s="50" t="s">
        <v>7</v>
      </c>
      <c r="H61" s="50" t="n">
        <v>2.0</v>
      </c>
      <c r="I61" s="48" t="n">
        <f>ROUND(F61-((F61*J61)/100), 2)</f>
        <v>2300.91</v>
      </c>
      <c r="J61" s="48" t="n">
        <v>0.0</v>
      </c>
      <c r="K61" s="48" t="n">
        <f>ROUND((H61 * I61),2)</f>
        <v>4601.82</v>
      </c>
    </row>
    <row r="62">
      <c r="A62" s="79" t="s">
        <v>98</v>
      </c>
      <c r="B62" s="75" t="s">
        <v>24</v>
      </c>
      <c r="C62" s="75" t="s">
        <v>99</v>
      </c>
      <c r="D62" s="49" t="s">
        <v>26</v>
      </c>
      <c r="E62" s="49" t="n">
        <v>14.0</v>
      </c>
      <c r="F62" s="48" t="n">
        <v>375445.54</v>
      </c>
      <c r="G62" s="50" t="s">
        <v>7</v>
      </c>
      <c r="H62" s="50" t="n">
        <v>2.0</v>
      </c>
      <c r="I62" s="48" t="n">
        <f>ROUND(F62-((F62*J62)/100), 2)</f>
        <v>375445.54</v>
      </c>
      <c r="J62" s="48" t="n">
        <v>0.0</v>
      </c>
      <c r="K62" s="48" t="n">
        <f>ROUND((H62 * I62),2)</f>
        <v>750891.08</v>
      </c>
    </row>
    <row r="63">
      <c r="A63" s="43" t="s">
        <v>100</v>
      </c>
      <c r="B63" s="43" t="s">
        <v>24</v>
      </c>
      <c r="C63" s="75" t="s">
        <v>101</v>
      </c>
      <c r="D63" s="49" t="n">
        <v>12.0</v>
      </c>
      <c r="E63" s="49" t="s">
        <v>29</v>
      </c>
      <c r="F63" s="132" t="n">
        <v>16154.46</v>
      </c>
      <c r="G63" s="50" t="s">
        <v>7</v>
      </c>
      <c r="H63" s="50" t="n">
        <v>2.0</v>
      </c>
      <c r="I63" s="48" t="n">
        <f>ROUND(F63-((F63*J63)/100), 2)</f>
        <v>16154.46</v>
      </c>
      <c r="J63" s="48" t="n">
        <v>0.0</v>
      </c>
      <c r="K63" s="48" t="n">
        <f>ROUND((H63 * I63),2)</f>
        <v>32308.92</v>
      </c>
    </row>
    <row r="64">
      <c r="A64" s="43" t="s">
        <v>102</v>
      </c>
      <c r="B64" s="43" t="s">
        <v>24</v>
      </c>
      <c r="C64" s="75" t="s">
        <v>103</v>
      </c>
      <c r="D64" s="49" t="s">
        <v>26</v>
      </c>
      <c r="E64" s="49" t="n">
        <v>14.0</v>
      </c>
      <c r="F64" s="133" t="n">
        <v>0.0</v>
      </c>
      <c r="G64" s="50" t="s">
        <v>7</v>
      </c>
      <c r="H64" s="50" t="n">
        <v>2.0</v>
      </c>
      <c r="I64" s="48" t="n">
        <f>ROUND(F64-((F64*J64)/100), 2)</f>
        <v>0.0</v>
      </c>
      <c r="J64" s="48" t="n">
        <v>0.0</v>
      </c>
      <c r="K64" s="48" t="n">
        <f>ROUND((H64 * I64),2)</f>
        <v>0.0</v>
      </c>
    </row>
    <row r="65">
      <c r="A65" s="43" t="s">
        <v>104</v>
      </c>
      <c r="B65" s="43" t="s">
        <v>24</v>
      </c>
      <c r="C65" s="75" t="s">
        <v>105</v>
      </c>
      <c r="D65" s="49" t="s">
        <v>26</v>
      </c>
      <c r="E65" s="49" t="n">
        <v>21.0</v>
      </c>
      <c r="F65" s="134" t="n">
        <v>0.0</v>
      </c>
      <c r="G65" s="50" t="s">
        <v>7</v>
      </c>
      <c r="H65" s="50" t="n">
        <v>2.0</v>
      </c>
      <c r="I65" s="48" t="n">
        <f>ROUND(F65-((F65*J65)/100), 2)</f>
        <v>0.0</v>
      </c>
      <c r="J65" s="48" t="n">
        <v>0.0</v>
      </c>
      <c r="K65" s="48" t="n">
        <f>ROUND((H65 * I65),2)</f>
        <v>0.0</v>
      </c>
    </row>
    <row r="66">
      <c r="A66" s="43" t="s">
        <v>106</v>
      </c>
      <c r="B66" s="43" t="s">
        <v>31</v>
      </c>
      <c r="C66" s="75" t="s">
        <v>107</v>
      </c>
      <c r="D66" s="49" t="s">
        <v>26</v>
      </c>
      <c r="E66" s="49" t="n">
        <v>21.0</v>
      </c>
      <c r="F66" s="135" t="n">
        <v>0.0</v>
      </c>
      <c r="G66" s="50" t="s">
        <v>7</v>
      </c>
      <c r="H66" s="50" t="n">
        <v>2.0</v>
      </c>
      <c r="I66" s="48" t="n">
        <f>ROUND(F66-((F66*J66)/100), 2)</f>
        <v>0.0</v>
      </c>
      <c r="J66" s="48" t="n">
        <v>0.0</v>
      </c>
      <c r="K66" s="48" t="n">
        <f>ROUND((H66 * I66),2)</f>
        <v>0.0</v>
      </c>
    </row>
    <row r="67">
      <c r="A67" s="43" t="s">
        <v>108</v>
      </c>
      <c r="B67" s="43" t="s">
        <v>24</v>
      </c>
      <c r="C67" s="75" t="s">
        <v>109</v>
      </c>
      <c r="D67" s="49" t="s">
        <v>26</v>
      </c>
      <c r="E67" s="49" t="n">
        <v>42.0</v>
      </c>
      <c r="F67" s="136" t="n">
        <v>0.0</v>
      </c>
      <c r="G67" s="50" t="s">
        <v>7</v>
      </c>
      <c r="H67" s="50" t="n">
        <v>2.0</v>
      </c>
      <c r="I67" s="48" t="n">
        <f>ROUND(F67-((F67*J67)/100), 2)</f>
        <v>0.0</v>
      </c>
      <c r="J67" s="48" t="n">
        <v>0.0</v>
      </c>
      <c r="K67" s="48" t="n">
        <f>ROUND((H67 * I67),2)</f>
        <v>0.0</v>
      </c>
    </row>
    <row r="68">
      <c r="A68" s="43" t="s">
        <v>110</v>
      </c>
      <c r="B68" s="43" t="s">
        <v>24</v>
      </c>
      <c r="C68" s="75" t="s">
        <v>111</v>
      </c>
      <c r="D68" s="49" t="s">
        <v>26</v>
      </c>
      <c r="E68" s="49" t="n">
        <v>14.0</v>
      </c>
      <c r="F68" s="137" t="n">
        <v>0.0</v>
      </c>
      <c r="G68" s="50" t="s">
        <v>7</v>
      </c>
      <c r="H68" s="50" t="n">
        <v>8.0</v>
      </c>
      <c r="I68" s="48" t="n">
        <f>ROUND(F68-((F68*J68)/100), 2)</f>
        <v>0.0</v>
      </c>
      <c r="J68" s="48" t="n">
        <v>0.0</v>
      </c>
      <c r="K68" s="48" t="n">
        <f>ROUND((H68 * I68),2)</f>
        <v>0.0</v>
      </c>
    </row>
    <row r="69">
      <c r="A69" s="43" t="s">
        <v>112</v>
      </c>
      <c r="B69" s="43" t="s">
        <v>24</v>
      </c>
      <c r="C69" s="75" t="s">
        <v>113</v>
      </c>
      <c r="D69" s="49" t="s">
        <v>26</v>
      </c>
      <c r="E69" s="49" t="n">
        <v>14.0</v>
      </c>
      <c r="F69" s="138" t="n">
        <v>0.0</v>
      </c>
      <c r="G69" s="50" t="s">
        <v>7</v>
      </c>
      <c r="H69" s="50" t="n">
        <v>4.0</v>
      </c>
      <c r="I69" s="48" t="n">
        <f>ROUND(F69-((F69*J69)/100), 2)</f>
        <v>0.0</v>
      </c>
      <c r="J69" s="48" t="n">
        <v>0.0</v>
      </c>
      <c r="K69" s="48" t="n">
        <f>ROUND((H69 * I69),2)</f>
        <v>0.0</v>
      </c>
    </row>
    <row r="70">
      <c r="A70" s="43" t="s">
        <v>114</v>
      </c>
      <c r="B70" s="43" t="s">
        <v>24</v>
      </c>
      <c r="C70" s="75" t="s">
        <v>115</v>
      </c>
      <c r="D70" s="49" t="s">
        <v>26</v>
      </c>
      <c r="E70" s="49" t="n">
        <v>7.0</v>
      </c>
      <c r="F70" s="139" t="n">
        <v>0.0</v>
      </c>
      <c r="G70" s="50" t="s">
        <v>7</v>
      </c>
      <c r="H70" s="50" t="n">
        <v>4.0</v>
      </c>
      <c r="I70" s="48" t="n">
        <f>ROUND(F70-((F70*J70)/100), 2)</f>
        <v>0.0</v>
      </c>
      <c r="J70" s="48" t="n">
        <v>0.0</v>
      </c>
      <c r="K70" s="48" t="n">
        <f>ROUND((H70 * I70),2)</f>
        <v>0.0</v>
      </c>
    </row>
    <row r="71">
      <c r="A71" s="43" t="s">
        <v>116</v>
      </c>
      <c r="B71" s="43" t="s">
        <v>24</v>
      </c>
      <c r="C71" s="75" t="s">
        <v>117</v>
      </c>
      <c r="D71" s="49" t="s">
        <v>26</v>
      </c>
      <c r="E71" s="49" t="n">
        <v>2.0</v>
      </c>
      <c r="F71" s="140" t="n">
        <v>0.0</v>
      </c>
      <c r="G71" s="50" t="s">
        <v>7</v>
      </c>
      <c r="H71" s="50" t="n">
        <v>2.0</v>
      </c>
      <c r="I71" s="48" t="n">
        <f>ROUND(F71-((F71*J71)/100), 2)</f>
        <v>0.0</v>
      </c>
      <c r="J71" s="48" t="n">
        <v>0.0</v>
      </c>
      <c r="K71" s="48" t="n">
        <f>ROUND((H71 * I71),2)</f>
        <v>0.0</v>
      </c>
    </row>
    <row r="72">
      <c r="A72" s="43" t="s">
        <v>118</v>
      </c>
      <c r="B72" s="43" t="s">
        <v>24</v>
      </c>
      <c r="C72" s="75" t="s">
        <v>119</v>
      </c>
      <c r="D72" s="49" t="s">
        <v>26</v>
      </c>
      <c r="E72" s="49" t="n">
        <v>14.0</v>
      </c>
      <c r="F72" s="141" t="n">
        <v>0.0</v>
      </c>
      <c r="G72" s="50" t="s">
        <v>7</v>
      </c>
      <c r="H72" s="50" t="n">
        <v>2.0</v>
      </c>
      <c r="I72" s="48" t="n">
        <f>ROUND(F72-((F72*J72)/100), 2)</f>
        <v>0.0</v>
      </c>
      <c r="J72" s="48" t="n">
        <v>0.0</v>
      </c>
      <c r="K72" s="48" t="n">
        <f>ROUND((H72 * I72),2)</f>
        <v>0.0</v>
      </c>
    </row>
    <row r="73">
      <c r="A73" s="43" t="s">
        <v>120</v>
      </c>
      <c r="B73" s="43" t="s">
        <v>24</v>
      </c>
      <c r="C73" s="75" t="s">
        <v>121</v>
      </c>
      <c r="D73" s="49" t="s">
        <v>26</v>
      </c>
      <c r="E73" s="49" t="n">
        <v>21.0</v>
      </c>
      <c r="F73" s="142" t="n">
        <v>0.0</v>
      </c>
      <c r="G73" s="50" t="s">
        <v>7</v>
      </c>
      <c r="H73" s="50" t="n">
        <v>2.0</v>
      </c>
      <c r="I73" s="48" t="n">
        <f>ROUND(F73-((F73*J73)/100), 2)</f>
        <v>0.0</v>
      </c>
      <c r="J73" s="48" t="n">
        <v>0.0</v>
      </c>
      <c r="K73" s="48" t="n">
        <f>ROUND((H73 * I73),2)</f>
        <v>0.0</v>
      </c>
    </row>
    <row r="74">
      <c r="A74" s="43" t="s">
        <v>122</v>
      </c>
      <c r="B74" s="43" t="s">
        <v>31</v>
      </c>
      <c r="C74" s="75" t="s">
        <v>123</v>
      </c>
      <c r="D74" s="49" t="s">
        <v>26</v>
      </c>
      <c r="E74" s="49" t="n">
        <v>21.0</v>
      </c>
      <c r="F74" s="143" t="n">
        <v>154601.36</v>
      </c>
      <c r="G74" s="50" t="s">
        <v>7</v>
      </c>
      <c r="H74" s="50" t="n">
        <v>2.0</v>
      </c>
      <c r="I74" s="48" t="n">
        <f>ROUND(F74-((F74*J74)/100), 2)</f>
        <v>154601.36</v>
      </c>
      <c r="J74" s="48" t="n">
        <v>0.0</v>
      </c>
      <c r="K74" s="48" t="n">
        <f>ROUND((H74 * I74),2)</f>
        <v>309202.72</v>
      </c>
    </row>
    <row r="75">
      <c r="A75" s="43" t="s">
        <v>124</v>
      </c>
      <c r="B75" s="43" t="s">
        <v>24</v>
      </c>
      <c r="C75" s="75" t="s">
        <v>125</v>
      </c>
      <c r="D75" s="49" t="n">
        <v>12.0</v>
      </c>
      <c r="E75" s="49" t="s">
        <v>29</v>
      </c>
      <c r="F75" s="144" t="n">
        <v>15346.33</v>
      </c>
      <c r="G75" s="50" t="s">
        <v>7</v>
      </c>
      <c r="H75" s="50" t="n">
        <v>2.0</v>
      </c>
      <c r="I75" s="48" t="n">
        <f>ROUND(F75-((F75*J75)/100), 2)</f>
        <v>15346.33</v>
      </c>
      <c r="J75" s="48" t="n">
        <v>0.0</v>
      </c>
      <c r="K75" s="48" t="n">
        <f>ROUND((H75 * I75),2)</f>
        <v>30692.66</v>
      </c>
    </row>
    <row r="76">
      <c r="A76" s="79" t="s">
        <v>126</v>
      </c>
      <c r="B76" s="75" t="s">
        <v>24</v>
      </c>
      <c r="C76" s="75" t="s">
        <v>127</v>
      </c>
      <c r="D76" s="49" t="s">
        <v>26</v>
      </c>
      <c r="E76" s="49" t="n">
        <v>59.0</v>
      </c>
      <c r="F76" s="48" t="n">
        <v>189061.34</v>
      </c>
      <c r="G76" s="50" t="s">
        <v>7</v>
      </c>
      <c r="H76" s="50" t="n">
        <v>2.0</v>
      </c>
      <c r="I76" s="48" t="n">
        <f>ROUND(F76-((F76*J76)/100), 2)</f>
        <v>189061.34</v>
      </c>
      <c r="J76" s="48" t="n">
        <v>0.0</v>
      </c>
      <c r="K76" s="48" t="n">
        <f>ROUND((H76 * I76),2)</f>
        <v>378122.68</v>
      </c>
    </row>
    <row r="77">
      <c r="A77" s="43" t="s">
        <v>128</v>
      </c>
      <c r="B77" s="43" t="s">
        <v>24</v>
      </c>
      <c r="C77" s="75" t="s">
        <v>129</v>
      </c>
      <c r="D77" s="49" t="n">
        <v>12.0</v>
      </c>
      <c r="E77" s="49" t="s">
        <v>29</v>
      </c>
      <c r="F77" s="145" t="n">
        <v>7569.15</v>
      </c>
      <c r="G77" s="50" t="s">
        <v>7</v>
      </c>
      <c r="H77" s="50" t="n">
        <v>2.0</v>
      </c>
      <c r="I77" s="48" t="n">
        <f>ROUND(F77-((F77*J77)/100), 2)</f>
        <v>7569.15</v>
      </c>
      <c r="J77" s="48" t="n">
        <v>0.0</v>
      </c>
      <c r="K77" s="48" t="n">
        <f>ROUND((H77 * I77),2)</f>
        <v>15138.3</v>
      </c>
    </row>
    <row r="78">
      <c r="A78" s="43" t="s">
        <v>102</v>
      </c>
      <c r="B78" s="43" t="s">
        <v>24</v>
      </c>
      <c r="C78" s="75" t="s">
        <v>103</v>
      </c>
      <c r="D78" s="49" t="s">
        <v>26</v>
      </c>
      <c r="E78" s="49" t="n">
        <v>14.0</v>
      </c>
      <c r="F78" s="146" t="n">
        <v>0.0</v>
      </c>
      <c r="G78" s="50" t="s">
        <v>7</v>
      </c>
      <c r="H78" s="50" t="n">
        <v>2.0</v>
      </c>
      <c r="I78" s="48" t="n">
        <f>ROUND(F78-((F78*J78)/100), 2)</f>
        <v>0.0</v>
      </c>
      <c r="J78" s="48" t="n">
        <v>0.0</v>
      </c>
      <c r="K78" s="48" t="n">
        <f>ROUND((H78 * I78),2)</f>
        <v>0.0</v>
      </c>
    </row>
    <row r="79">
      <c r="A79" s="43" t="s">
        <v>104</v>
      </c>
      <c r="B79" s="43" t="s">
        <v>24</v>
      </c>
      <c r="C79" s="75" t="s">
        <v>105</v>
      </c>
      <c r="D79" s="49" t="s">
        <v>26</v>
      </c>
      <c r="E79" s="49" t="n">
        <v>21.0</v>
      </c>
      <c r="F79" s="147" t="n">
        <v>0.0</v>
      </c>
      <c r="G79" s="50" t="s">
        <v>7</v>
      </c>
      <c r="H79" s="50" t="n">
        <v>2.0</v>
      </c>
      <c r="I79" s="48" t="n">
        <f>ROUND(F79-((F79*J79)/100), 2)</f>
        <v>0.0</v>
      </c>
      <c r="J79" s="48" t="n">
        <v>0.0</v>
      </c>
      <c r="K79" s="48" t="n">
        <f>ROUND((H79 * I79),2)</f>
        <v>0.0</v>
      </c>
    </row>
    <row r="80">
      <c r="A80" s="43" t="s">
        <v>106</v>
      </c>
      <c r="B80" s="43" t="s">
        <v>31</v>
      </c>
      <c r="C80" s="75" t="s">
        <v>107</v>
      </c>
      <c r="D80" s="49" t="s">
        <v>26</v>
      </c>
      <c r="E80" s="49" t="n">
        <v>21.0</v>
      </c>
      <c r="F80" s="148" t="n">
        <v>0.0</v>
      </c>
      <c r="G80" s="50" t="s">
        <v>7</v>
      </c>
      <c r="H80" s="50" t="n">
        <v>2.0</v>
      </c>
      <c r="I80" s="48" t="n">
        <f>ROUND(F80-((F80*J80)/100), 2)</f>
        <v>0.0</v>
      </c>
      <c r="J80" s="48" t="n">
        <v>0.0</v>
      </c>
      <c r="K80" s="48" t="n">
        <f>ROUND((H80 * I80),2)</f>
        <v>0.0</v>
      </c>
    </row>
    <row r="81">
      <c r="A81" s="43" t="s">
        <v>108</v>
      </c>
      <c r="B81" s="43" t="s">
        <v>24</v>
      </c>
      <c r="C81" s="75" t="s">
        <v>109</v>
      </c>
      <c r="D81" s="49" t="s">
        <v>26</v>
      </c>
      <c r="E81" s="49" t="n">
        <v>42.0</v>
      </c>
      <c r="F81" s="149" t="n">
        <v>0.0</v>
      </c>
      <c r="G81" s="50" t="s">
        <v>7</v>
      </c>
      <c r="H81" s="50" t="n">
        <v>2.0</v>
      </c>
      <c r="I81" s="48" t="n">
        <f>ROUND(F81-((F81*J81)/100), 2)</f>
        <v>0.0</v>
      </c>
      <c r="J81" s="48" t="n">
        <v>0.0</v>
      </c>
      <c r="K81" s="48" t="n">
        <f>ROUND((H81 * I81),2)</f>
        <v>0.0</v>
      </c>
    </row>
    <row r="82">
      <c r="A82" s="43" t="s">
        <v>130</v>
      </c>
      <c r="B82" s="43" t="s">
        <v>24</v>
      </c>
      <c r="C82" s="75" t="s">
        <v>131</v>
      </c>
      <c r="D82" s="49" t="s">
        <v>26</v>
      </c>
      <c r="E82" s="49" t="n">
        <v>42.0</v>
      </c>
      <c r="F82" s="150" t="n">
        <v>0.0</v>
      </c>
      <c r="G82" s="50" t="s">
        <v>7</v>
      </c>
      <c r="H82" s="50" t="n">
        <v>6.0</v>
      </c>
      <c r="I82" s="48" t="n">
        <f>ROUND(F82-((F82*J82)/100), 2)</f>
        <v>0.0</v>
      </c>
      <c r="J82" s="48" t="n">
        <v>0.0</v>
      </c>
      <c r="K82" s="48" t="n">
        <f>ROUND((H82 * I82),2)</f>
        <v>0.0</v>
      </c>
    </row>
    <row r="83">
      <c r="A83" s="43" t="s">
        <v>118</v>
      </c>
      <c r="B83" s="43" t="s">
        <v>24</v>
      </c>
      <c r="C83" s="75" t="s">
        <v>119</v>
      </c>
      <c r="D83" s="49" t="s">
        <v>26</v>
      </c>
      <c r="E83" s="49" t="n">
        <v>14.0</v>
      </c>
      <c r="F83" s="151" t="n">
        <v>0.0</v>
      </c>
      <c r="G83" s="50" t="s">
        <v>7</v>
      </c>
      <c r="H83" s="50" t="n">
        <v>2.0</v>
      </c>
      <c r="I83" s="48" t="n">
        <f>ROUND(F83-((F83*J83)/100), 2)</f>
        <v>0.0</v>
      </c>
      <c r="J83" s="48" t="n">
        <v>0.0</v>
      </c>
      <c r="K83" s="48" t="n">
        <f>ROUND((H83 * I83),2)</f>
        <v>0.0</v>
      </c>
    </row>
    <row r="84">
      <c r="A84" s="43" t="s">
        <v>132</v>
      </c>
      <c r="B84" s="43" t="s">
        <v>24</v>
      </c>
      <c r="C84" s="75" t="s">
        <v>133</v>
      </c>
      <c r="D84" s="49" t="s">
        <v>26</v>
      </c>
      <c r="E84" s="49" t="n">
        <v>42.0</v>
      </c>
      <c r="F84" s="152" t="n">
        <v>0.0</v>
      </c>
      <c r="G84" s="50" t="s">
        <v>7</v>
      </c>
      <c r="H84" s="50" t="n">
        <v>4.0</v>
      </c>
      <c r="I84" s="48" t="n">
        <f>ROUND(F84-((F84*J84)/100), 2)</f>
        <v>0.0</v>
      </c>
      <c r="J84" s="48" t="n">
        <v>0.0</v>
      </c>
      <c r="K84" s="48" t="n">
        <f>ROUND((H84 * I84),2)</f>
        <v>0.0</v>
      </c>
    </row>
    <row r="85">
      <c r="A85" s="43" t="s">
        <v>114</v>
      </c>
      <c r="B85" s="43" t="s">
        <v>24</v>
      </c>
      <c r="C85" s="75" t="s">
        <v>115</v>
      </c>
      <c r="D85" s="49" t="s">
        <v>26</v>
      </c>
      <c r="E85" s="49" t="n">
        <v>7.0</v>
      </c>
      <c r="F85" s="153" t="n">
        <v>0.0</v>
      </c>
      <c r="G85" s="50" t="s">
        <v>7</v>
      </c>
      <c r="H85" s="50" t="n">
        <v>4.0</v>
      </c>
      <c r="I85" s="48" t="n">
        <f>ROUND(F85-((F85*J85)/100), 2)</f>
        <v>0.0</v>
      </c>
      <c r="J85" s="48" t="n">
        <v>0.0</v>
      </c>
      <c r="K85" s="48" t="n">
        <f>ROUND((H85 * I85),2)</f>
        <v>0.0</v>
      </c>
    </row>
    <row r="86">
      <c r="A86" s="43" t="s">
        <v>116</v>
      </c>
      <c r="B86" s="43" t="s">
        <v>24</v>
      </c>
      <c r="C86" s="75" t="s">
        <v>117</v>
      </c>
      <c r="D86" s="49" t="s">
        <v>26</v>
      </c>
      <c r="E86" s="49" t="n">
        <v>2.0</v>
      </c>
      <c r="F86" s="154" t="n">
        <v>0.0</v>
      </c>
      <c r="G86" s="50" t="s">
        <v>7</v>
      </c>
      <c r="H86" s="50" t="n">
        <v>2.0</v>
      </c>
      <c r="I86" s="48" t="n">
        <f>ROUND(F86-((F86*J86)/100), 2)</f>
        <v>0.0</v>
      </c>
      <c r="J86" s="48" t="n">
        <v>0.0</v>
      </c>
      <c r="K86" s="48" t="n">
        <f>ROUND((H86 * I86),2)</f>
        <v>0.0</v>
      </c>
    </row>
    <row r="87">
      <c r="A87" s="43" t="s">
        <v>120</v>
      </c>
      <c r="B87" s="43" t="s">
        <v>24</v>
      </c>
      <c r="C87" s="75" t="s">
        <v>121</v>
      </c>
      <c r="D87" s="49" t="s">
        <v>26</v>
      </c>
      <c r="E87" s="49" t="n">
        <v>21.0</v>
      </c>
      <c r="F87" s="155" t="n">
        <v>0.0</v>
      </c>
      <c r="G87" s="50" t="s">
        <v>7</v>
      </c>
      <c r="H87" s="50" t="n">
        <v>2.0</v>
      </c>
      <c r="I87" s="48" t="n">
        <f>ROUND(F87-((F87*J87)/100), 2)</f>
        <v>0.0</v>
      </c>
      <c r="J87" s="48" t="n">
        <v>0.0</v>
      </c>
      <c r="K87" s="48" t="n">
        <f>ROUND((H87 * I87),2)</f>
        <v>0.0</v>
      </c>
    </row>
    <row r="88">
      <c r="A88" s="79" t="s">
        <v>134</v>
      </c>
      <c r="B88" s="75" t="s">
        <v>31</v>
      </c>
      <c r="C88" s="75" t="s">
        <v>135</v>
      </c>
      <c r="D88" s="49" t="s">
        <v>26</v>
      </c>
      <c r="E88" s="49" t="s">
        <v>29</v>
      </c>
      <c r="F88" s="48" t="n">
        <v>0.0</v>
      </c>
      <c r="G88" s="50" t="s">
        <v>7</v>
      </c>
      <c r="H88" s="50" t="n">
        <v>1.0</v>
      </c>
      <c r="I88" s="48" t="n">
        <f>ROUND(F88-((F88*J88)/100), 2)</f>
        <v>0.0</v>
      </c>
      <c r="J88" s="48" t="n">
        <v>0.0</v>
      </c>
      <c r="K88" s="48" t="n">
        <f>ROUND((H88 * I88),2)</f>
        <v>0.0</v>
      </c>
    </row>
    <row r="89">
      <c r="A89" s="35" t="s">
        <v>136</v>
      </c>
      <c r="B89" s="40" t="s">
        <v>7</v>
      </c>
      <c r="C89" s="40" t="s">
        <v>7</v>
      </c>
      <c r="D89" s="40" t="s">
        <v>7</v>
      </c>
      <c r="E89" s="40" t="s">
        <v>7</v>
      </c>
      <c r="F89" s="40" t="s">
        <v>7</v>
      </c>
      <c r="G89" s="40" t="s">
        <v>7</v>
      </c>
      <c r="H89" s="40" t="s">
        <v>7</v>
      </c>
      <c r="I89" s="40" t="s">
        <v>7</v>
      </c>
      <c r="J89" s="40" t="s">
        <v>7</v>
      </c>
      <c r="K89" s="36" t="s">
        <v>7</v>
      </c>
    </row>
    <row r="90">
      <c r="A90" s="43" t="s">
        <v>137</v>
      </c>
      <c r="B90" s="43" t="s">
        <v>31</v>
      </c>
      <c r="C90" s="75" t="s">
        <v>138</v>
      </c>
      <c r="D90" s="49" t="s">
        <v>26</v>
      </c>
      <c r="E90" s="49" t="n">
        <v>2.0</v>
      </c>
      <c r="F90" s="156" t="n">
        <v>6479.49</v>
      </c>
      <c r="G90" s="50" t="n">
        <v>1.0</v>
      </c>
      <c r="H90" s="50" t="n">
        <v>1.0</v>
      </c>
      <c r="I90" s="157" t="n">
        <f>ROUND(F90-((F90*J90)/100),2)</f>
        <v>6479.49</v>
      </c>
      <c r="J90" s="48" t="n">
        <v>0.0</v>
      </c>
      <c r="K90" s="48" t="n">
        <f>ROUND(((ROUND(F90-((F90 * J90)/100),2) * H90 * 12)/1),2)</f>
        <v>77753.88</v>
      </c>
    </row>
    <row r="91">
      <c r="A91" s="43" t="s">
        <v>139</v>
      </c>
      <c r="B91" s="43" t="s">
        <v>31</v>
      </c>
      <c r="C91" s="75" t="s">
        <v>140</v>
      </c>
      <c r="D91" s="49" t="s">
        <v>26</v>
      </c>
      <c r="E91" s="49" t="n">
        <v>2.0</v>
      </c>
      <c r="F91" s="158" t="n">
        <v>719.94</v>
      </c>
      <c r="G91" s="50" t="n">
        <v>1.0</v>
      </c>
      <c r="H91" s="50" t="n">
        <v>10.0</v>
      </c>
      <c r="I91" s="159" t="n">
        <f>ROUND(F91-((F91*J91)/100),2)</f>
        <v>719.94</v>
      </c>
      <c r="J91" s="48" t="n">
        <v>0.0</v>
      </c>
      <c r="K91" s="48" t="n">
        <f>ROUND(((ROUND(F91-((F91 * J91)/100),2) * H91 * 12)/1),2)</f>
        <v>86392.8</v>
      </c>
    </row>
    <row r="92">
      <c r="A92" s="43" t="s">
        <v>141</v>
      </c>
      <c r="B92" s="43" t="s">
        <v>31</v>
      </c>
      <c r="C92" s="75" t="s">
        <v>142</v>
      </c>
      <c r="D92" s="49" t="s">
        <v>26</v>
      </c>
      <c r="E92" s="49" t="s">
        <v>29</v>
      </c>
      <c r="F92" s="160" t="n">
        <v>0.0</v>
      </c>
      <c r="G92" s="50" t="n">
        <v>1.0</v>
      </c>
      <c r="H92" s="50" t="n">
        <v>1.0</v>
      </c>
      <c r="I92" s="161" t="n">
        <f>ROUND(F92-((F92*J92)/100),2)</f>
        <v>0.0</v>
      </c>
      <c r="J92" s="48" t="n">
        <v>0.0</v>
      </c>
      <c r="K92" s="48" t="n">
        <f>ROUND(((ROUND(F92-((F92 * J92)/100),2) * H92 * 12)/1),2)</f>
        <v>0.0</v>
      </c>
    </row>
    <row r="93">
      <c r="A93" s="79" t="s">
        <v>143</v>
      </c>
      <c r="B93" s="75" t="s">
        <v>24</v>
      </c>
      <c r="C93" s="75" t="s">
        <v>57</v>
      </c>
      <c r="D93" s="49" t="s">
        <v>26</v>
      </c>
      <c r="E93" s="49" t="n">
        <v>14.0</v>
      </c>
      <c r="F93" s="48" t="n">
        <v>322779.93</v>
      </c>
      <c r="G93" s="50" t="s">
        <v>7</v>
      </c>
      <c r="H93" s="50" t="n">
        <v>2.0</v>
      </c>
      <c r="I93" s="48" t="n">
        <f>ROUND(F93-((F93*J93)/100), 2)</f>
        <v>322779.93</v>
      </c>
      <c r="J93" s="48" t="n">
        <v>0.0</v>
      </c>
      <c r="K93" s="48" t="n">
        <f>ROUND((H93 * I93),2)</f>
        <v>645559.86</v>
      </c>
    </row>
    <row r="94">
      <c r="A94" s="43" t="s">
        <v>144</v>
      </c>
      <c r="B94" s="43" t="s">
        <v>24</v>
      </c>
      <c r="C94" s="75" t="s">
        <v>59</v>
      </c>
      <c r="D94" s="49" t="n">
        <v>12.0</v>
      </c>
      <c r="E94" s="49" t="s">
        <v>29</v>
      </c>
      <c r="F94" s="162" t="n">
        <v>19899.03</v>
      </c>
      <c r="G94" s="50" t="s">
        <v>7</v>
      </c>
      <c r="H94" s="50" t="n">
        <v>2.0</v>
      </c>
      <c r="I94" s="48" t="n">
        <f>ROUND(F94-((F94*J94)/100), 2)</f>
        <v>19899.03</v>
      </c>
      <c r="J94" s="48" t="n">
        <v>0.0</v>
      </c>
      <c r="K94" s="48" t="n">
        <f>ROUND((H94 * I94),2)</f>
        <v>39798.06</v>
      </c>
    </row>
    <row r="95">
      <c r="A95" s="43" t="s">
        <v>145</v>
      </c>
      <c r="B95" s="43" t="s">
        <v>31</v>
      </c>
      <c r="C95" s="75" t="s">
        <v>146</v>
      </c>
      <c r="D95" s="49" t="s">
        <v>26</v>
      </c>
      <c r="E95" s="49" t="n">
        <v>14.0</v>
      </c>
      <c r="F95" s="163" t="n">
        <v>0.0</v>
      </c>
      <c r="G95" s="50" t="s">
        <v>7</v>
      </c>
      <c r="H95" s="50" t="n">
        <v>2.0</v>
      </c>
      <c r="I95" s="48" t="n">
        <f>ROUND(F95-((F95*J95)/100), 2)</f>
        <v>0.0</v>
      </c>
      <c r="J95" s="48" t="n">
        <v>0.0</v>
      </c>
      <c r="K95" s="48" t="n">
        <f>ROUND((H95 * I95),2)</f>
        <v>0.0</v>
      </c>
    </row>
    <row r="96">
      <c r="A96" s="43" t="s">
        <v>147</v>
      </c>
      <c r="B96" s="43" t="s">
        <v>24</v>
      </c>
      <c r="C96" s="75" t="s">
        <v>148</v>
      </c>
      <c r="D96" s="49" t="n">
        <v>12.0</v>
      </c>
      <c r="E96" s="49" t="s">
        <v>29</v>
      </c>
      <c r="F96" s="164" t="n">
        <v>288.04</v>
      </c>
      <c r="G96" s="50" t="s">
        <v>7</v>
      </c>
      <c r="H96" s="50" t="n">
        <v>2.0</v>
      </c>
      <c r="I96" s="48" t="n">
        <f>ROUND(F96-((F96*J96)/100), 2)</f>
        <v>288.04</v>
      </c>
      <c r="J96" s="48" t="n">
        <v>0.0</v>
      </c>
      <c r="K96" s="48" t="n">
        <f>ROUND((H96 * I96),2)</f>
        <v>576.08</v>
      </c>
    </row>
    <row r="97">
      <c r="A97" s="43" t="s">
        <v>149</v>
      </c>
      <c r="B97" s="43" t="s">
        <v>24</v>
      </c>
      <c r="C97" s="75" t="s">
        <v>150</v>
      </c>
      <c r="D97" s="49" t="n">
        <v>36.0</v>
      </c>
      <c r="E97" s="49" t="s">
        <v>29</v>
      </c>
      <c r="F97" s="165" t="n">
        <v>3992.42</v>
      </c>
      <c r="G97" s="50" t="s">
        <v>7</v>
      </c>
      <c r="H97" s="50" t="n">
        <v>2.0</v>
      </c>
      <c r="I97" s="48" t="n">
        <f>ROUND(F97-((F97*J97)/100), 2)</f>
        <v>3992.42</v>
      </c>
      <c r="J97" s="48" t="n">
        <v>0.0</v>
      </c>
      <c r="K97" s="48" t="n">
        <f>ROUND((H97 * I97),2)</f>
        <v>7984.84</v>
      </c>
    </row>
    <row r="98">
      <c r="A98" s="43" t="s">
        <v>151</v>
      </c>
      <c r="B98" s="43" t="s">
        <v>31</v>
      </c>
      <c r="C98" s="75" t="s">
        <v>152</v>
      </c>
      <c r="D98" s="49" t="s">
        <v>26</v>
      </c>
      <c r="E98" s="49" t="n">
        <v>14.0</v>
      </c>
      <c r="F98" s="166" t="n">
        <v>0.0</v>
      </c>
      <c r="G98" s="50" t="s">
        <v>7</v>
      </c>
      <c r="H98" s="50" t="n">
        <v>2.0</v>
      </c>
      <c r="I98" s="48" t="n">
        <f>ROUND(F98-((F98*J98)/100), 2)</f>
        <v>0.0</v>
      </c>
      <c r="J98" s="48" t="n">
        <v>0.0</v>
      </c>
      <c r="K98" s="48" t="n">
        <f>ROUND((H98 * I98),2)</f>
        <v>0.0</v>
      </c>
    </row>
    <row r="99">
      <c r="A99" s="43" t="s">
        <v>153</v>
      </c>
      <c r="B99" s="43" t="s">
        <v>24</v>
      </c>
      <c r="C99" s="75" t="s">
        <v>154</v>
      </c>
      <c r="D99" s="49" t="s">
        <v>26</v>
      </c>
      <c r="E99" s="49" t="n">
        <v>14.0</v>
      </c>
      <c r="F99" s="167" t="n">
        <v>0.0</v>
      </c>
      <c r="G99" s="50" t="s">
        <v>7</v>
      </c>
      <c r="H99" s="50" t="n">
        <v>2.0</v>
      </c>
      <c r="I99" s="48" t="n">
        <f>ROUND(F99-((F99*J99)/100), 2)</f>
        <v>0.0</v>
      </c>
      <c r="J99" s="48" t="n">
        <v>0.0</v>
      </c>
      <c r="K99" s="48" t="n">
        <f>ROUND((H99 * I99),2)</f>
        <v>0.0</v>
      </c>
    </row>
    <row r="100">
      <c r="A100" s="43" t="s">
        <v>79</v>
      </c>
      <c r="B100" s="43" t="s">
        <v>24</v>
      </c>
      <c r="C100" s="75" t="s">
        <v>80</v>
      </c>
      <c r="D100" s="49" t="s">
        <v>26</v>
      </c>
      <c r="E100" s="49" t="n">
        <v>14.0</v>
      </c>
      <c r="F100" s="168" t="n">
        <v>0.0</v>
      </c>
      <c r="G100" s="50" t="s">
        <v>7</v>
      </c>
      <c r="H100" s="50" t="n">
        <v>2.0</v>
      </c>
      <c r="I100" s="48" t="n">
        <f>ROUND(F100-((F100*J100)/100), 2)</f>
        <v>0.0</v>
      </c>
      <c r="J100" s="48" t="n">
        <v>0.0</v>
      </c>
      <c r="K100" s="48" t="n">
        <f>ROUND((H100 * I100),2)</f>
        <v>0.0</v>
      </c>
    </row>
    <row r="101">
      <c r="A101" s="43" t="s">
        <v>92</v>
      </c>
      <c r="B101" s="43" t="s">
        <v>24</v>
      </c>
      <c r="C101" s="75" t="s">
        <v>93</v>
      </c>
      <c r="D101" s="49" t="s">
        <v>26</v>
      </c>
      <c r="E101" s="49" t="n">
        <v>14.0</v>
      </c>
      <c r="F101" s="169" t="n">
        <v>14380.85</v>
      </c>
      <c r="G101" s="50" t="s">
        <v>7</v>
      </c>
      <c r="H101" s="50" t="n">
        <v>2.0</v>
      </c>
      <c r="I101" s="48" t="n">
        <f>ROUND(F101-((F101*J101)/100), 2)</f>
        <v>14380.85</v>
      </c>
      <c r="J101" s="48" t="n">
        <v>0.0</v>
      </c>
      <c r="K101" s="48" t="n">
        <f>ROUND((H101 * I101),2)</f>
        <v>28761.7</v>
      </c>
    </row>
    <row r="102">
      <c r="A102" s="43" t="s">
        <v>81</v>
      </c>
      <c r="B102" s="43" t="s">
        <v>24</v>
      </c>
      <c r="C102" s="75" t="s">
        <v>82</v>
      </c>
      <c r="D102" s="49" t="s">
        <v>26</v>
      </c>
      <c r="E102" s="49" t="n">
        <v>7.0</v>
      </c>
      <c r="F102" s="170" t="n">
        <v>0.0</v>
      </c>
      <c r="G102" s="50" t="s">
        <v>7</v>
      </c>
      <c r="H102" s="50" t="n">
        <v>4.0</v>
      </c>
      <c r="I102" s="48" t="n">
        <f>ROUND(F102-((F102*J102)/100), 2)</f>
        <v>0.0</v>
      </c>
      <c r="J102" s="48" t="n">
        <v>0.0</v>
      </c>
      <c r="K102" s="48" t="n">
        <f>ROUND((H102 * I102),2)</f>
        <v>0.0</v>
      </c>
    </row>
    <row r="103">
      <c r="A103" s="43" t="s">
        <v>94</v>
      </c>
      <c r="B103" s="43" t="s">
        <v>24</v>
      </c>
      <c r="C103" s="75" t="s">
        <v>95</v>
      </c>
      <c r="D103" s="49" t="s">
        <v>26</v>
      </c>
      <c r="E103" s="49" t="n">
        <v>21.0</v>
      </c>
      <c r="F103" s="171" t="n">
        <v>29337.03</v>
      </c>
      <c r="G103" s="50" t="s">
        <v>7</v>
      </c>
      <c r="H103" s="50" t="n">
        <v>2.0</v>
      </c>
      <c r="I103" s="48" t="n">
        <f>ROUND(F103-((F103*J103)/100), 2)</f>
        <v>29337.03</v>
      </c>
      <c r="J103" s="48" t="n">
        <v>0.0</v>
      </c>
      <c r="K103" s="48" t="n">
        <f>ROUND((H103 * I103),2)</f>
        <v>58674.06</v>
      </c>
    </row>
    <row r="104">
      <c r="A104" s="43" t="s">
        <v>83</v>
      </c>
      <c r="B104" s="43" t="s">
        <v>24</v>
      </c>
      <c r="C104" s="75" t="s">
        <v>84</v>
      </c>
      <c r="D104" s="49" t="s">
        <v>26</v>
      </c>
      <c r="E104" s="49" t="n">
        <v>14.0</v>
      </c>
      <c r="F104" s="172" t="n">
        <v>0.0</v>
      </c>
      <c r="G104" s="50" t="s">
        <v>7</v>
      </c>
      <c r="H104" s="50" t="n">
        <v>2.0</v>
      </c>
      <c r="I104" s="48" t="n">
        <f>ROUND(F104-((F104*J104)/100), 2)</f>
        <v>0.0</v>
      </c>
      <c r="J104" s="48" t="n">
        <v>0.0</v>
      </c>
      <c r="K104" s="48" t="n">
        <f>ROUND((H104 * I104),2)</f>
        <v>0.0</v>
      </c>
    </row>
    <row r="105">
      <c r="A105" s="43" t="s">
        <v>85</v>
      </c>
      <c r="B105" s="43" t="s">
        <v>24</v>
      </c>
      <c r="C105" s="75" t="s">
        <v>50</v>
      </c>
      <c r="D105" s="49" t="s">
        <v>26</v>
      </c>
      <c r="E105" s="49" t="n">
        <v>14.0</v>
      </c>
      <c r="F105" s="173" t="n">
        <v>0.0</v>
      </c>
      <c r="G105" s="50" t="s">
        <v>7</v>
      </c>
      <c r="H105" s="50" t="n">
        <v>2.0</v>
      </c>
      <c r="I105" s="48" t="n">
        <f>ROUND(F105-((F105*J105)/100), 2)</f>
        <v>0.0</v>
      </c>
      <c r="J105" s="48" t="n">
        <v>0.0</v>
      </c>
      <c r="K105" s="48" t="n">
        <f>ROUND((H105 * I105),2)</f>
        <v>0.0</v>
      </c>
    </row>
    <row r="106">
      <c r="A106" s="43" t="s">
        <v>86</v>
      </c>
      <c r="B106" s="43" t="s">
        <v>24</v>
      </c>
      <c r="C106" s="75" t="s">
        <v>87</v>
      </c>
      <c r="D106" s="49" t="s">
        <v>26</v>
      </c>
      <c r="E106" s="49" t="n">
        <v>14.0</v>
      </c>
      <c r="F106" s="174" t="n">
        <v>0.0</v>
      </c>
      <c r="G106" s="50" t="s">
        <v>7</v>
      </c>
      <c r="H106" s="50" t="n">
        <v>2.0</v>
      </c>
      <c r="I106" s="48" t="n">
        <f>ROUND(F106-((F106*J106)/100), 2)</f>
        <v>0.0</v>
      </c>
      <c r="J106" s="48" t="n">
        <v>0.0</v>
      </c>
      <c r="K106" s="48" t="n">
        <f>ROUND((H106 * I106),2)</f>
        <v>0.0</v>
      </c>
    </row>
    <row r="107">
      <c r="A107" s="43" t="s">
        <v>88</v>
      </c>
      <c r="B107" s="43" t="s">
        <v>24</v>
      </c>
      <c r="C107" s="75" t="s">
        <v>89</v>
      </c>
      <c r="D107" s="49" t="s">
        <v>26</v>
      </c>
      <c r="E107" s="49" t="n">
        <v>21.0</v>
      </c>
      <c r="F107" s="175" t="n">
        <v>0.0</v>
      </c>
      <c r="G107" s="50" t="s">
        <v>7</v>
      </c>
      <c r="H107" s="50" t="n">
        <v>2.0</v>
      </c>
      <c r="I107" s="48" t="n">
        <f>ROUND(F107-((F107*J107)/100), 2)</f>
        <v>0.0</v>
      </c>
      <c r="J107" s="48" t="n">
        <v>0.0</v>
      </c>
      <c r="K107" s="48" t="n">
        <f>ROUND((H107 * I107),2)</f>
        <v>0.0</v>
      </c>
    </row>
    <row r="108">
      <c r="A108" s="43" t="s">
        <v>90</v>
      </c>
      <c r="B108" s="43" t="s">
        <v>24</v>
      </c>
      <c r="C108" s="75" t="s">
        <v>91</v>
      </c>
      <c r="D108" s="49" t="s">
        <v>26</v>
      </c>
      <c r="E108" s="49" t="n">
        <v>14.0</v>
      </c>
      <c r="F108" s="176" t="n">
        <v>0.0</v>
      </c>
      <c r="G108" s="50" t="s">
        <v>7</v>
      </c>
      <c r="H108" s="50" t="n">
        <v>2.0</v>
      </c>
      <c r="I108" s="48" t="n">
        <f>ROUND(F108-((F108*J108)/100), 2)</f>
        <v>0.0</v>
      </c>
      <c r="J108" s="48" t="n">
        <v>0.0</v>
      </c>
      <c r="K108" s="48" t="n">
        <f>ROUND((H108 * I108),2)</f>
        <v>0.0</v>
      </c>
    </row>
    <row r="109">
      <c r="A109" s="43" t="s">
        <v>53</v>
      </c>
      <c r="B109" s="43" t="s">
        <v>31</v>
      </c>
      <c r="C109" s="75" t="s">
        <v>54</v>
      </c>
      <c r="D109" s="49" t="s">
        <v>26</v>
      </c>
      <c r="E109" s="49" t="n">
        <v>2.0</v>
      </c>
      <c r="F109" s="177" t="n">
        <v>0.0</v>
      </c>
      <c r="G109" s="50" t="s">
        <v>7</v>
      </c>
      <c r="H109" s="50" t="n">
        <v>2.0</v>
      </c>
      <c r="I109" s="48" t="n">
        <f>ROUND(F109-((F109*J109)/100), 2)</f>
        <v>0.0</v>
      </c>
      <c r="J109" s="48" t="n">
        <v>0.0</v>
      </c>
      <c r="K109" s="48" t="n">
        <f>ROUND((H109 * I109),2)</f>
        <v>0.0</v>
      </c>
    </row>
    <row r="110">
      <c r="A110" s="43" t="s">
        <v>96</v>
      </c>
      <c r="B110" s="43" t="s">
        <v>24</v>
      </c>
      <c r="C110" s="75" t="s">
        <v>97</v>
      </c>
      <c r="D110" s="49" t="s">
        <v>26</v>
      </c>
      <c r="E110" s="49" t="n">
        <v>21.0</v>
      </c>
      <c r="F110" s="178" t="n">
        <v>2300.91</v>
      </c>
      <c r="G110" s="50" t="s">
        <v>7</v>
      </c>
      <c r="H110" s="50" t="n">
        <v>2.0</v>
      </c>
      <c r="I110" s="48" t="n">
        <f>ROUND(F110-((F110*J110)/100), 2)</f>
        <v>2300.91</v>
      </c>
      <c r="J110" s="48" t="n">
        <v>0.0</v>
      </c>
      <c r="K110" s="48" t="n">
        <f>ROUND((H110 * I110),2)</f>
        <v>4601.82</v>
      </c>
    </row>
    <row r="111">
      <c r="A111" s="3" t="s">
        <v>7</v>
      </c>
      <c r="B111" s="3" t="s">
        <v>7</v>
      </c>
      <c r="C111" s="3" t="s">
        <v>7</v>
      </c>
      <c r="D111" s="3" t="s">
        <v>7</v>
      </c>
      <c r="E111" s="3" t="s">
        <v>7</v>
      </c>
      <c r="F111" s="3" t="s">
        <v>7</v>
      </c>
      <c r="G111" s="3" t="s">
        <v>7</v>
      </c>
      <c r="H111" s="3" t="s">
        <v>7</v>
      </c>
      <c r="I111" s="3" t="s">
        <v>7</v>
      </c>
      <c r="J111" s="3" t="s">
        <v>7</v>
      </c>
      <c r="K111" s="3" t="s">
        <v>7</v>
      </c>
    </row>
    <row r="113">
      <c r="A113" s="8" t="s">
        <v>163</v>
      </c>
      <c r="B113" s="8" t="s">
        <v>7</v>
      </c>
      <c r="I113" s="8" t="s">
        <v>155</v>
      </c>
      <c r="K113" s="17" t="s">
        <f>(K24+K26+K29+K30+K31+K32+K33+K34+K35+K36+K37+K38+K39+K41+K44+K46+K48+K49+K50+K51+K52+K53+K54+K55+K56+K57+K58+K59+K60+K61+K62+K64+K65+K66+K67+K68+K69+K70+K71+K72+K73+K74+K76+K78+K79+K80+K81+K82+K83+K84+K85+K86+K87+K93+K95+K98+K99+K100+K101+K102+K103+K104+K105+K106+K107+K108+K109+K110)</f>
        <v>156</v>
      </c>
    </row>
    <row r="114">
      <c r="A114" s="8" t="s">
        <v>165</v>
      </c>
      <c r="B114" s="8" t="s">
        <v>7</v>
      </c>
      <c r="I114" s="8" t="s">
        <v>157</v>
      </c>
      <c r="K114" s="17" t="s">
        <f>(K25+K27+K40+K42+K63+K75+K77+K94+K96)</f>
        <v>158</v>
      </c>
    </row>
    <row r="115">
      <c r="I115" s="8" t="s">
        <v>159</v>
      </c>
      <c r="K115" s="17" t="s">
        <f>(K28+K43+K45+K47+K88+K90+K91+K92+K97)</f>
        <v>160</v>
      </c>
    </row>
    <row r="116">
      <c r="I116" s="8" t="s">
        <v>161</v>
      </c>
      <c r="K116" s="16" t="s">
        <f>(K114+K113+K115)</f>
        <v>162</v>
      </c>
    </row>
    <row r="117">
      <c r="A117" s="8" t="s">
        <v>166</v>
      </c>
    </row>
    <row r="118">
      <c r="A118" s="52" t="s">
        <v>7</v>
      </c>
      <c r="I118" s="8" t="s">
        <v>167</v>
      </c>
      <c r="K118" s="1" t="s">
        <v>7</v>
      </c>
    </row>
    <row r="119" ht="22.0" customHeight="true">
      <c r="K119" s="19" t="s">
        <v>1</v>
      </c>
    </row>
    <row r="120">
      <c r="A120" s="3" t="s">
        <v>7</v>
      </c>
      <c r="B120" s="3" t="s">
        <v>7</v>
      </c>
      <c r="C120" s="3" t="s">
        <v>7</v>
      </c>
      <c r="D120" s="3" t="s">
        <v>7</v>
      </c>
      <c r="E120" s="3" t="s">
        <v>7</v>
      </c>
      <c r="F120" s="3" t="s">
        <v>7</v>
      </c>
      <c r="G120" s="3" t="s">
        <v>7</v>
      </c>
      <c r="H120" s="3" t="s">
        <v>7</v>
      </c>
      <c r="I120" s="3" t="s">
        <v>7</v>
      </c>
      <c r="J120" s="3" t="s">
        <v>7</v>
      </c>
      <c r="K120" s="3" t="s">
        <v>7</v>
      </c>
    </row>
    <row r="121">
      <c r="A121" s="53" t="s">
        <v>174</v>
      </c>
    </row>
  </sheetData>
  <mergeCells count="24">
    <mergeCell ref="A2:K2"/>
    <mergeCell ref="A7:C7"/>
    <mergeCell ref="A8:C8"/>
    <mergeCell ref="A9:C9"/>
    <mergeCell ref="A10:C10"/>
    <mergeCell ref="A11:C11"/>
    <mergeCell ref="A12:C12"/>
    <mergeCell ref="J7:K7"/>
    <mergeCell ref="J8:K8"/>
    <mergeCell ref="J9:K9"/>
    <mergeCell ref="J10:K10"/>
    <mergeCell ref="J11:K11"/>
    <mergeCell ref="J12:K12"/>
    <mergeCell ref="A15:K16"/>
    <mergeCell ref="A17:K17"/>
    <mergeCell ref="A18:B18"/>
    <mergeCell ref="I22:K22"/>
    <mergeCell ref="A89:K89"/>
    <mergeCell ref="A113:D113"/>
    <mergeCell ref="A114:D114"/>
    <mergeCell ref="A117:D117"/>
    <mergeCell ref="A118:G119"/>
    <mergeCell ref="I118:J118"/>
    <mergeCell ref="A121:K123"/>
  </mergeCells>
  <printOptions gridLines="false" horizontalCentered="true"/>
  <pageMargins bottom="0.75" footer="0.3" header="0.3" left="0.7" right="0.7" top="0.75"/>
  <pageSetup paperSize="9" orientation="landscape"/>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2026-06-15T22:30:20Z</dcterms:created>
  <dc:creator>Apache POI</dc:creator>
</cp:coreProperties>
</file>